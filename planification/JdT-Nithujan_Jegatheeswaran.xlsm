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8444A478-4A6D-476B-8AD2-0C0E167ACC3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1" l="1"/>
  <c r="B29" i="1"/>
  <c r="B36" i="1"/>
  <c r="B39" i="1"/>
  <c r="B41" i="1"/>
  <c r="B43" i="1"/>
  <c r="B50" i="1"/>
  <c r="B52" i="1"/>
  <c r="B56" i="1"/>
  <c r="B63" i="1"/>
  <c r="B65" i="1"/>
  <c r="B69" i="1"/>
  <c r="G6" i="4"/>
  <c r="C79" i="1"/>
  <c r="H11" i="4"/>
  <c r="G7" i="4"/>
  <c r="G8" i="4"/>
  <c r="G9" i="4"/>
  <c r="G10" i="4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4" i="1"/>
  <c r="B25" i="1"/>
  <c r="B26" i="1"/>
  <c r="B27" i="1"/>
  <c r="B28" i="1"/>
  <c r="B30" i="1"/>
  <c r="B31" i="1"/>
  <c r="B32" i="1"/>
  <c r="B33" i="1"/>
  <c r="B34" i="1"/>
  <c r="B35" i="1"/>
  <c r="B37" i="1"/>
  <c r="B38" i="1"/>
  <c r="B40" i="1"/>
  <c r="B42" i="1"/>
  <c r="B44" i="1"/>
  <c r="B45" i="1"/>
  <c r="B46" i="1"/>
  <c r="B47" i="1"/>
  <c r="B48" i="1"/>
  <c r="B49" i="1"/>
  <c r="B51" i="1"/>
  <c r="B53" i="1"/>
  <c r="B54" i="1"/>
  <c r="B55" i="1"/>
  <c r="B57" i="1"/>
  <c r="B58" i="1"/>
  <c r="B59" i="1"/>
  <c r="B60" i="1"/>
  <c r="B61" i="1"/>
  <c r="B62" i="1"/>
  <c r="B64" i="1"/>
  <c r="B66" i="1"/>
  <c r="B67" i="1"/>
  <c r="B68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</calcChain>
</file>

<file path=xl/sharedStrings.xml><?xml version="1.0" encoding="utf-8"?>
<sst xmlns="http://schemas.openxmlformats.org/spreadsheetml/2006/main" count="383" uniqueCount="220">
  <si>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</si>
  <si>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</si>
  <si>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</si>
  <si>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</si>
  <si>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</si>
  <si>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</si>
  <si>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</si>
  <si>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</si>
  <si>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</si>
  <si>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</si>
  <si>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</si>
  <si>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</si>
  <si>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</si>
  <si>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</si>
  <si>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</si>
  <si>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</si>
  <si>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</si>
  <si>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</si>
  <si>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</si>
  <si>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</si>
  <si>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</si>
  <si>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</si>
  <si>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</si>
  <si>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</si>
  <si>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</si>
  <si>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</si>
  <si>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</si>
  <si>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</si>
  <si>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</si>
  <si>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</si>
  <si>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</si>
  <si>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</si>
  <si>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</si>
  <si>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</si>
  <si>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</si>
  <si>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</si>
  <si>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</si>
  <si>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</si>
  <si>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</si>
  <si>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</si>
  <si>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</si>
  <si>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</si>
  <si>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</si>
  <si>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</si>
  <si>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</si>
  <si>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</si>
  <si>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</si>
  <si>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</si>
  <si>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</si>
  <si>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</si>
  <si>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</si>
  <si>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</si>
  <si>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</si>
  <si>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</si>
  <si>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</si>
  <si>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</si>
  <si>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</si>
  <si>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</si>
  <si>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</si>
  <si>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</si>
  <si>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</si>
  <si>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</si>
  <si>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</si>
  <si>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</si>
  <si>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</si>
  <si>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</si>
  <si>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</si>
  <si>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</si>
  <si>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</si>
  <si>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</si>
  <si>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</si>
  <si>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</si>
  <si>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</si>
  <si>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</si>
  <si>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</si>
  <si>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</si>
  <si>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</si>
  <si>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</si>
  <si>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</si>
  <si>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</si>
  <si>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</si>
  <si>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</si>
  <si>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</si>
  <si>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</si>
  <si>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</si>
  <si>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</si>
  <si>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</si>
  <si>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</si>
  <si>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</si>
  <si>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</si>
  <si>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</si>
  <si>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</si>
  <si>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</si>
  <si>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</si>
  <si>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</si>
  <si>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</si>
  <si>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</si>
  <si>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</si>
  <si>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</si>
  <si>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</si>
  <si>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</si>
  <si>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</si>
  <si>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</si>
  <si>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</si>
  <si>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</si>
  <si>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</si>
  <si>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</si>
  <si>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</si>
  <si>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</si>
  <si>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</si>
  <si>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</si>
  <si>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</si>
  <si>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</si>
  <si>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</si>
  <si>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</si>
  <si>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</si>
  <si>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</si>
  <si>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</si>
  <si>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</si>
  <si>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</si>
  <si>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</si>
  <si>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</si>
  <si>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</si>
  <si>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</si>
  <si>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</si>
  <si>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</si>
  <si>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</si>
  <si>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</si>
  <si>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</si>
  <si>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</si>
  <si>
    <t>Recherche sur la création de classes pour les tables de la base de données</t>
  </si>
  <si>
    <t>src: https://www.geeksforgeeks.org/sqlalchemy-mapping-table-columns/ ; https://docs.sqlalchemy.org/en/14/orm/declarative_tables.html; https://www.blog.pythonlibrary.org/2010/09/10/sqlalchemy-connecting-to-pre-existing-databases/</t>
  </si>
  <si>
    <t>Recherche sur les requêtes INNER JOIN</t>
  </si>
  <si>
    <t>src: https://www.generacodice.com/en/articolo/333177/How+to+join+the+same+table+in+sqlalchemy ; https://stackoverflow.com/questions/48550653/join-same-table-twice-with-aliases-on-sqlalchemy</t>
  </si>
  <si>
    <t>Implémentation de la page index</t>
  </si>
  <si>
    <t>source: https://flask-sqlalchemy.palletsprojects.com/en/2.x/ ; https://stackoverflow.com/questions/39955521/sqlalchemy-existing-database-query</t>
  </si>
  <si>
    <t>requête vers db fonctionne, source docu: https://docs.sqlalchemy.org/en/14/tutorial/data_select.html#tutorial-selecting-data ; https://docs.sqlalchemy.org/en/14/core/connections.html?highlight=connect#basic-usage</t>
  </si>
  <si>
    <t>Transmission des données à la page HTML et mise en forme</t>
  </si>
  <si>
    <t>Page index complétée</t>
  </si>
  <si>
    <t>Création des maquettes pour l'édition de tâches et la liste de ces denières</t>
  </si>
  <si>
    <t>Création de divers templates html</t>
  </si>
  <si>
    <t>src: https://docs.sqlalchemy.org/en/14/orm/extensions/automap.html?highlight=__tablename__#basic-use ; https://docs.sqlalchemy.org/en/14/orm/declarative_tables.html ; https://docs.sqlalchemy.org/en/14/orm/mapping_styles.html#orm-declarative-mapping ; https://docs.sqlalchemy.org/en/14/orm/query.html?highlight=aliased#orm-specific-query-constructs ; https://docs.sqlalchemy.org/en/14/orm/session_basics.html#querying-2-0-style ; https://www.mysqltutorial.org/mysql-boolean/ ; https://flask.palletsprojects.com/en/2.0.x/tutorial/templates/ ; https://www.w3schools.com/python/python_datetime.asp https://www.w3schools.com/python/gloss_python_date_format_codes.asp ; https://getbootstrap.com/docs/5.0/utilities/text/</t>
  </si>
  <si>
    <t xml:space="preserve">src: https://www.w3schools.com/tags/att_input_type_date.asp ; https://www.w3schools.com/tags/att_input_type_time.asp ; https://getbootstrap.com/docs/5.1/layout/grid/#responsive-classes ; https://getbootstrap.com/docs/5.1/forms/form-control/ ; </t>
  </si>
  <si>
    <t xml:space="preserve">src: https://stackoverflow.com/questions/27817282/sha256-giving-44-length-output-instead-64-length ; https://www.jetbrains.com/help/pycharm/tutorial-creating-and-applying-live-templates-code-snippets.html#what-about ; https://www.jetbrains.com/help/pycharm/template-variables.html#predefined_functions ; </t>
  </si>
  <si>
    <t xml:space="preserve">src: https://docs.sqlalchemy.org/en/14/tutorial/metadata.html#other-mapped-class-details ; </t>
  </si>
  <si>
    <t>Page pour ajouter une tâche</t>
  </si>
  <si>
    <t>Présentation des filières ES</t>
  </si>
  <si>
    <t>Problème d'IDE qui ne reconnait plus l'interpréteur</t>
  </si>
  <si>
    <t>Solution: réinstallation de python 3.9 sur C:\Python\Python3.9</t>
  </si>
  <si>
    <t>Questions de implémentation à Mme Andolfatto</t>
  </si>
  <si>
    <t>Réponses: séparer variable de session du modèle pour plus d'indépendance ; Ajouter des cartouches pour les fichiers HTML/CSS ; éviter les "select *" car lisibilité-- et selon code si structure de la db change peut être problématique</t>
  </si>
  <si>
    <t>Label pour tous les fichiers html/css</t>
  </si>
  <si>
    <t>à faire ensuite: modification d'une tâche existante (non-validée)</t>
  </si>
  <si>
    <t>Gestion des erreurs dans le formulaire pour une nouvelle tâche</t>
  </si>
  <si>
    <t>Fin de la gestion des inputs pour une nouvelle tâche</t>
  </si>
  <si>
    <t>Edition d'une tâche existante</t>
  </si>
  <si>
    <t>Modification de la structure de la base de données</t>
  </si>
  <si>
    <t>ajout d'une colonne ; génération de données: voir capture pour les mots de passe des users ; logiciel de génération pose problème =&gt; nombre de tables ou données trop importants ?</t>
  </si>
  <si>
    <t>Page html avec la liste des tâches non validées et pour ajouter d'une tâche terminées</t>
  </si>
  <si>
    <t>src: https://www.w3schools.com/python/python_tuples.asp ; https://pythonguides.com/convert-a-string-to-datetime-in-python/ ; https://geekflare.com/calculate-time-difference-in-python/</t>
  </si>
  <si>
    <t>Mise à jour des heures de travail à l'ajout d'une nouvelle tâche</t>
  </si>
  <si>
    <t>src: https://agapow.net/programming/python/convert-timedelta-to-float/ ; https://www.pythontutorial.net/python-basics/python-constants/ ; https://stackoverflow.com/questions/63689052/convert-timedelta-to-decimal-pandas</t>
  </si>
  <si>
    <t>Ajout de docstring pour les fonctions de views.py</t>
  </si>
  <si>
    <t>Documentation sur python et flask-sqlalchemy / sqlalchemy</t>
  </si>
  <si>
    <t>import: flask, flask-sqlalchemy, mysql-connector-python, fpdf2 / environnemnt virtuel / création d''un nouvel user db / src: https://www.javatpoint.com/how-to-create-requirements-txt-file-in-python</t>
  </si>
  <si>
    <t>src: https://www.programiz.com/python-programming/docstrings ; https://stackoverflow.com/questions/45004725/how-to-specify-different-return-types-in-python-docstring ; https://peps.python.org/pep-0257/</t>
  </si>
  <si>
    <t>Fonction get_selected_task pour la page edit_task/&lt;id&gt;</t>
  </si>
  <si>
    <t>Class model</t>
  </si>
  <si>
    <t>src: https://www.w3schools.com/python/gloss_python_change_tuple_item.asp ; https://docs.python.org/3.9/library/datetime.html#datetime.datetime.strftime / à finir</t>
  </si>
  <si>
    <t>src: https://fontawesome.com/v5/docs/web/style/size#contentHeader ; https://getbootstrap.com/docs/5.1/components/alerts/</t>
  </si>
  <si>
    <t>Amélioration du design de gabarit.html et des formulaires add_task et edit_task</t>
  </si>
  <si>
    <t xml:space="preserve">Spécification des types de variables utilisées et des types de retour des fonctions (quand c'est possible) </t>
  </si>
  <si>
    <t>src: https://docs.sqlalchemy.org/en/14/orm/session_api.html#sqlalchemy.orm.Session.execute ; https://docs.sqlalchemy.org/en/14/core/connections.html#sqlalchemy.engine.Result ; https://docs.sqlalchemy.org/en/14/tutorial/data_select.html#selecting-orm-entities-and-columns ; https://docs.sqlalchemy.org/en/14/core/connections.html?highlight=row#sqlalchemy.engine.Row ; https://medium.com/code2pro/python-tuple-vs-named-tuple-vs-dictionary-e5541aa07dbb ; https://www.geeksforgeeks.org/namedtuple-in-python/ ; https://docs.python.org/3.9/library/datetime.html#timedelta-objects</t>
  </si>
  <si>
    <t>Implémentation de la page de modification de tâche</t>
  </si>
  <si>
    <t>src: https://stackoverflow.com/questions/46402022/subtract-hours-and-minutes-from-time ; https://stackoverflow.com/questions/8370943/how-to-print-name-of-class-in-python ; https://mypy.readthedocs.io/en/stable/error_code_list.html?highlight=not%20defined#check-that-name-is-defined-name-defined ; https://stackoverflow.com/questions/67637790/negative-time-difference-in-pandas ; https://mypy.readthedocs.io/en/stable/running_mypy.html#missing-imports ; https://www.w3schools.com/tags/att_form_enctype.asp / enctype important quand on mélange POST et GET</t>
  </si>
  <si>
    <t>Refactor des fichiers .py</t>
  </si>
  <si>
    <t>src: https://realpython.com/absolute-vs-relative-python-imports/#styling-of-import-statements ; https://docs.python.org/3.9/tutorial/modules.html</t>
  </si>
  <si>
    <t>Refactor de la table de jointure employee_has_task</t>
  </si>
  <si>
    <t>src: https://stackoverflow.com/questions/28015524/how-do-i-correct-this-sqlalchemy-exc-noforeignkeyserror ; https://docs.sqlalchemy.org/en/14/orm/tutorial.html#orm-tutorial-relationship ; https://docs.sqlalchemy.org/en/14/orm/backref.html#backref-arguments ; https://docs.sqlalchemy.org/en/14/orm/basic_relationships.html#many-to-many ; https://stackoverflow.com/questions/51335298/concepts-of-backref-and-back-populate-in-sqlalchemy</t>
  </si>
  <si>
    <t>Fonctionnalité permettant de voir la liste des employés</t>
  </si>
  <si>
    <t>Ajout d'un/e employé/e</t>
  </si>
  <si>
    <t>src: https://stackoverflow.com/questions/4436957/pythonic-difference-between-two-dates-in-years ; https://en.wikipedia.org/wiki/Regular_expression#Syntax / il existe une extension pour gérer les formulaires: https://flask-wtf.readthedocs.io/en/1.0.x/</t>
  </si>
  <si>
    <t>Amélioration du code html</t>
  </si>
  <si>
    <t xml:space="preserve">src: https://jinja.palletsprojects.com/en/3.1.x/templates/#jinja-filters.min ; </t>
  </si>
  <si>
    <t>Refactor des template contenant des formulaires</t>
  </si>
  <si>
    <t>Refactor des fonctions de employee_mgmt et task_mgmt</t>
  </si>
  <si>
    <t>des objets de l'ORM ont été utilisés quand c'était possible</t>
  </si>
  <si>
    <t>Refactor du code et ajout de commentaires</t>
  </si>
  <si>
    <t>src: https://flask-sqlalchemy.palletsprojects.com/en/2.x/models/#one-to-many-relationships ; https://stackoverflow.com/questions/2638217/sqlalchemy-mapping-self-referential-relationship-as-one-to-many-declarative-f ; https://docs.sqlalchemy.org/en/14/orm/constructors.html  ; https://docs.sqlalchemy.org/en/14/orm/basic_relationships.html#one-to-many ; https://docs.sqlalchemy.org/en/14/orm/self_referential.html</t>
  </si>
  <si>
    <t>Configuration plus avancée de toutes les relations des classes des tables db</t>
  </si>
  <si>
    <t>Finalisation du formulaire d'ajout et de modification d'un/e employé/e</t>
  </si>
  <si>
    <t>src: https://stackoverflow.com/questions/2202999/why-is-textarea-filled-with-mysterious-white-spaces ; https://stackoverflow.com/questions/54729156/how-to-check-if-a-string-is-a-decimal-float-number</t>
  </si>
  <si>
    <t>src: https://flask-login.readthedocs.io/en/latest/#installation</t>
  </si>
  <si>
    <t>Documenation sur la gestion des sessions</t>
  </si>
  <si>
    <t>Commentaire du code</t>
  </si>
  <si>
    <t>Création de scripts batch pour configurer l'environnement de dév et lancer l'appli sans IDE</t>
  </si>
  <si>
    <t>src: https://stackoverflow.com/questions/30927567/a-python-script-that-activates-the-virtualenv-and-then-runs-another-python-scrip ; https://docs.python.org/3.9/tutorial/venv.html#creating-virtual-environments</t>
  </si>
  <si>
    <t>Test de l'application par mon frère connecté en employée externe au département RH</t>
  </si>
  <si>
    <t>Rem: formulaire nouvelle / modif. tâche - champ date et heure ne gère pas le valeur trop grande, ce même champ pourrait être plus ergo., il faut préciser que le titre et le projet = définitif, le bouton ENTER valide le formulaire --&gt; contre-intuitif</t>
  </si>
  <si>
    <t>Recherche et tentative de résolution des erreurs des tests</t>
  </si>
  <si>
    <t>sol: utiliser des valeurs max et min pour les champs date et datetime-local des 2 formularires; proposition: utiliser des try-except-else-finally si nécessaire</t>
  </si>
  <si>
    <t>Rédaction du dossier de projet</t>
  </si>
  <si>
    <t>Résolution de problème avec GitHub</t>
  </si>
  <si>
    <t>création d'une branche 'temp'</t>
  </si>
  <si>
    <t>Rédaction et finalisation du dossier de projet</t>
  </si>
  <si>
    <t>Restauration de certains fichiers effacées par une mauvaise manipulation sur GitHub</t>
  </si>
  <si>
    <t>types</t>
  </si>
  <si>
    <t>nb</t>
  </si>
  <si>
    <t>Page de login</t>
  </si>
  <si>
    <t>Apeçu des templates crées</t>
  </si>
  <si>
    <t>apeçu du footer du gabarit</t>
  </si>
  <si>
    <t>Test de l'affichage des données par l'application</t>
  </si>
  <si>
    <t>Tests visuels des templates</t>
  </si>
  <si>
    <t>Saisie de données sur la page pour ajouter une tâche</t>
  </si>
  <si>
    <t>Saisie de données dans le formulaire d'une nouvelle tâche</t>
  </si>
  <si>
    <t>Tests  d'inputs pour une nouvelle tâche</t>
  </si>
  <si>
    <t>Tentative de modification d'une tâche</t>
  </si>
  <si>
    <t>Tentatives de modification de tâches existantes</t>
  </si>
  <si>
    <t>Fonctionnalité permettant d'ajouter une tâche accomplie finalisée</t>
  </si>
  <si>
    <t>Tentatives d'ajout d'employés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</si>
</sst>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274320</xdr:colOff>
          <xdr:row>4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30480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87.592159490741" createdVersion="4" refreshedVersion="4" minRefreshableVersion="3" recordCount="1" xr:uid="{00000000-000A-0000-FFFF-FFFF00000000}">
  <cacheSource type="worksheet">
    <worksheetSource ref="A6:D142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143"/>
  <sheetViews>
    <sheetView tabSelected="1" topLeftCell="A37" workbookViewId="0">
      <selection activeCell="F42" sqref="F42"/>
    </sheetView>
  </sheetViews>
  <sheetFormatPr baseColWidth="10" defaultColWidth="9.109375" defaultRowHeight="14.4" x14ac:dyDescent="0.3"/>
  <cols>
    <col min="1" max="1" width="7.88671875" style="7" bestFit="1" customWidth="1"/>
    <col min="2" max="2" width="8.88671875" style="19" bestFit="1" customWidth="1"/>
    <col min="3" max="3" width="10.44140625" style="15" bestFit="1" customWidth="1"/>
    <col min="4" max="4" width="14" style="7" bestFit="1" customWidth="1"/>
    <col min="5" max="5" width="77.6640625" style="16" bestFit="1" customWidth="1"/>
    <col min="6" max="6" width="75.109375" style="16" customWidth="1"/>
    <col min="7" max="16384" width="9.109375" style="10"/>
  </cols>
  <sheetData>
    <row r="1" spans="1:9" s="21" customFormat="1" ht="14.1" customHeight="1" x14ac:dyDescent="0.25">
      <c r="A1" s="23" t="s">
        <v>14</v>
      </c>
      <c r="B1" s="23"/>
      <c r="C1" s="23"/>
      <c r="D1" s="23"/>
      <c r="E1" s="23"/>
      <c r="F1" s="23"/>
    </row>
    <row r="2" spans="1:9" s="21" customFormat="1" ht="13.8" x14ac:dyDescent="0.25">
      <c r="A2" s="23"/>
      <c r="B2" s="23"/>
      <c r="C2" s="23"/>
      <c r="D2" s="23"/>
      <c r="E2" s="23"/>
      <c r="F2" s="23"/>
    </row>
    <row r="3" spans="1:9" s="21" customFormat="1" ht="24.9" customHeight="1" x14ac:dyDescent="0.25">
      <c r="E3" s="21" t="s">
        <v>15</v>
      </c>
      <c r="F3" s="22" t="s">
        <v>16</v>
      </c>
    </row>
    <row r="6" spans="1:9" ht="15.6" x14ac:dyDescent="0.3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3">
      <c r="A7" s="6">
        <v>44653</v>
      </c>
      <c r="B7" s="18">
        <f t="shared" ref="B7" si="0">WEEKNUM(A7)</f>
        <v>14</v>
      </c>
      <c r="C7" s="11">
        <v>2</v>
      </c>
      <c r="D7" s="12" t="s">
        <v>12</v>
      </c>
      <c r="E7" s="13" t="s">
        <v>204</v>
      </c>
      <c r="F7" s="13"/>
      <c r="I7" s="14"/>
    </row>
    <row r="8" spans="1:9" x14ac:dyDescent="0.3">
      <c r="A8" s="6">
        <v>44653</v>
      </c>
      <c r="B8" s="18">
        <f t="shared" ref="B8" si="1">WEEKNUM(A8)</f>
        <v>14</v>
      </c>
      <c r="C8" s="11">
        <v>1.5</v>
      </c>
      <c r="D8" s="12" t="s">
        <v>12</v>
      </c>
      <c r="E8" s="13" t="s">
        <v>205</v>
      </c>
      <c r="F8" s="13"/>
      <c r="I8" s="14"/>
    </row>
    <row r="9" spans="1:9" x14ac:dyDescent="0.3">
      <c r="A9" s="6">
        <v>44652</v>
      </c>
      <c r="B9" s="18">
        <f t="shared" ref="B9" si="2">WEEKNUM(A9)</f>
        <v>14</v>
      </c>
      <c r="C9" s="11">
        <v>0.75</v>
      </c>
      <c r="D9" s="12" t="s">
        <v>12</v>
      </c>
      <c r="E9" s="13" t="s">
        <v>201</v>
      </c>
      <c r="F9" s="13"/>
      <c r="I9" s="14"/>
    </row>
    <row r="10" spans="1:9" x14ac:dyDescent="0.3">
      <c r="A10" s="6">
        <v>44652</v>
      </c>
      <c r="B10" s="18">
        <f t="shared" ref="B10" si="3">WEEKNUM(A10)</f>
        <v>14</v>
      </c>
      <c r="C10" s="11">
        <v>0.75</v>
      </c>
      <c r="D10" s="12" t="s">
        <v>12</v>
      </c>
      <c r="E10" s="13" t="s">
        <v>202</v>
      </c>
      <c r="F10" s="13" t="s">
        <v>203</v>
      </c>
      <c r="I10" s="14"/>
    </row>
    <row r="11" spans="1:9" x14ac:dyDescent="0.3">
      <c r="A11" s="6">
        <v>44651</v>
      </c>
      <c r="B11" s="18">
        <f t="shared" ref="B11" si="4">WEEKNUM(A11)</f>
        <v>14</v>
      </c>
      <c r="C11" s="11">
        <v>5</v>
      </c>
      <c r="D11" s="12" t="s">
        <v>12</v>
      </c>
      <c r="E11" s="13" t="s">
        <v>201</v>
      </c>
      <c r="F11" s="13"/>
      <c r="I11" s="14"/>
    </row>
    <row r="12" spans="1:9" ht="28.8" x14ac:dyDescent="0.3">
      <c r="A12" s="6">
        <v>44651</v>
      </c>
      <c r="B12" s="18">
        <f t="shared" ref="B12" si="5">WEEKNUM(A12)</f>
        <v>14</v>
      </c>
      <c r="C12" s="11">
        <v>1</v>
      </c>
      <c r="D12" s="12" t="s">
        <v>10</v>
      </c>
      <c r="E12" s="13" t="s">
        <v>199</v>
      </c>
      <c r="F12" s="13" t="s">
        <v>200</v>
      </c>
      <c r="I12" s="14"/>
    </row>
    <row r="13" spans="1:9" ht="43.2" x14ac:dyDescent="0.3">
      <c r="A13" s="6">
        <v>44651</v>
      </c>
      <c r="B13" s="18">
        <f t="shared" ref="B13" si="6">WEEKNUM(A13)</f>
        <v>14</v>
      </c>
      <c r="C13" s="11">
        <v>0.5</v>
      </c>
      <c r="D13" s="12" t="s">
        <v>11</v>
      </c>
      <c r="E13" s="13" t="s">
        <v>197</v>
      </c>
      <c r="F13" s="13" t="s">
        <v>198</v>
      </c>
      <c r="I13" s="14"/>
    </row>
    <row r="14" spans="1:9" ht="43.2" x14ac:dyDescent="0.3">
      <c r="A14" s="6">
        <v>44650</v>
      </c>
      <c r="B14" s="18">
        <f t="shared" ref="B14" si="7">WEEKNUM(A14)</f>
        <v>14</v>
      </c>
      <c r="C14" s="11">
        <v>1</v>
      </c>
      <c r="D14" s="12" t="s">
        <v>12</v>
      </c>
      <c r="E14" s="13" t="s">
        <v>195</v>
      </c>
      <c r="F14" s="13" t="s">
        <v>196</v>
      </c>
      <c r="I14" s="14"/>
    </row>
    <row r="15" spans="1:9" x14ac:dyDescent="0.3">
      <c r="A15" s="6">
        <v>44650</v>
      </c>
      <c r="B15" s="18">
        <f t="shared" ref="B15" si="8">WEEKNUM(A15)</f>
        <v>14</v>
      </c>
      <c r="C15" s="11">
        <v>3</v>
      </c>
      <c r="D15" s="12" t="s">
        <v>12</v>
      </c>
      <c r="E15" s="13" t="s">
        <v>194</v>
      </c>
      <c r="F15" s="13"/>
      <c r="I15" s="14"/>
    </row>
    <row r="16" spans="1:9" x14ac:dyDescent="0.3">
      <c r="A16" s="6">
        <v>44649</v>
      </c>
      <c r="B16" s="18">
        <f t="shared" ref="B16" si="9">WEEKNUM(A16)</f>
        <v>14</v>
      </c>
      <c r="C16" s="11">
        <v>0.25</v>
      </c>
      <c r="D16" s="12" t="s">
        <v>6</v>
      </c>
      <c r="E16" s="13" t="s">
        <v>193</v>
      </c>
      <c r="F16" s="13" t="s">
        <v>192</v>
      </c>
      <c r="I16" s="14"/>
    </row>
    <row r="17" spans="1:9" ht="43.2" x14ac:dyDescent="0.3">
      <c r="A17" s="6">
        <v>44648</v>
      </c>
      <c r="B17" s="18">
        <f t="shared" ref="B17" si="10">WEEKNUM(A17)</f>
        <v>14</v>
      </c>
      <c r="C17" s="11">
        <v>1.5</v>
      </c>
      <c r="D17" s="12" t="s">
        <v>10</v>
      </c>
      <c r="E17" s="13" t="s">
        <v>190</v>
      </c>
      <c r="F17" s="13" t="s">
        <v>191</v>
      </c>
      <c r="I17" s="14"/>
    </row>
    <row r="18" spans="1:9" ht="86.4" x14ac:dyDescent="0.3">
      <c r="A18" s="6">
        <v>44648</v>
      </c>
      <c r="B18" s="18">
        <f t="shared" ref="B18" si="11">WEEKNUM(A18)</f>
        <v>14</v>
      </c>
      <c r="C18" s="11">
        <v>2.5</v>
      </c>
      <c r="D18" s="12" t="s">
        <v>10</v>
      </c>
      <c r="E18" s="13" t="s">
        <v>189</v>
      </c>
      <c r="F18" s="13" t="s">
        <v>188</v>
      </c>
      <c r="I18" s="14"/>
    </row>
    <row r="19" spans="1:9" x14ac:dyDescent="0.3">
      <c r="A19" s="6">
        <v>44648</v>
      </c>
      <c r="B19" s="18">
        <f t="shared" ref="B19" si="12">WEEKNUM(A19)</f>
        <v>14</v>
      </c>
      <c r="C19" s="11">
        <v>2</v>
      </c>
      <c r="D19" s="12" t="s">
        <v>10</v>
      </c>
      <c r="E19" s="13" t="s">
        <v>187</v>
      </c>
      <c r="F19" s="13"/>
      <c r="I19" s="14"/>
    </row>
    <row r="20" spans="1:9" x14ac:dyDescent="0.3">
      <c r="A20" s="6">
        <v>44648</v>
      </c>
      <c r="B20" s="18">
        <f t="shared" ref="B20" si="13">WEEKNUM(A20)</f>
        <v>14</v>
      </c>
      <c r="C20" s="11">
        <v>2</v>
      </c>
      <c r="D20" s="12" t="s">
        <v>10</v>
      </c>
      <c r="E20" s="13" t="s">
        <v>185</v>
      </c>
      <c r="F20" s="13" t="s">
        <v>186</v>
      </c>
      <c r="I20" s="14"/>
    </row>
    <row r="21" spans="1:9" x14ac:dyDescent="0.3">
      <c r="A21" s="6">
        <v>44648</v>
      </c>
      <c r="B21" s="18">
        <f t="shared" ref="B21" si="14">WEEKNUM(A21)</f>
        <v>14</v>
      </c>
      <c r="C21" s="11">
        <v>1</v>
      </c>
      <c r="D21" s="12" t="s">
        <v>10</v>
      </c>
      <c r="E21" s="13" t="s">
        <v>184</v>
      </c>
      <c r="F21" s="13"/>
      <c r="I21" s="14"/>
    </row>
    <row r="22" spans="1:9" x14ac:dyDescent="0.3">
      <c r="A22" s="6">
        <v>44647</v>
      </c>
      <c r="B22" s="18">
        <f t="shared" ref="B22:B23" si="15">WEEKNUM(A22)</f>
        <v>14</v>
      </c>
      <c r="C22" s="11">
        <v>2</v>
      </c>
      <c r="D22" s="12" t="s">
        <v>10</v>
      </c>
      <c r="E22" s="13" t="s">
        <v>182</v>
      </c>
      <c r="F22" s="13" t="s">
        <v>183</v>
      </c>
      <c r="I22" s="14"/>
    </row>
    <row r="23" spans="1:9" x14ac:dyDescent="0.3">
      <c r="A23" s="6">
        <v>44647</v>
      </c>
      <c r="B23" s="18">
        <f t="shared" si="15"/>
        <v>14</v>
      </c>
      <c r="C23" s="11">
        <v>0.5</v>
      </c>
      <c r="D23" s="12" t="s">
        <v>11</v>
      </c>
      <c r="E23" s="13" t="s">
        <v>219</v>
      </c>
      <c r="F23" s="13"/>
      <c r="I23" s="14"/>
    </row>
    <row r="24" spans="1:9" ht="43.2" x14ac:dyDescent="0.3">
      <c r="A24" s="6">
        <v>44647</v>
      </c>
      <c r="B24" s="18">
        <f t="shared" ref="B24" si="16">WEEKNUM(A24)</f>
        <v>14</v>
      </c>
      <c r="C24" s="11">
        <v>2.5</v>
      </c>
      <c r="D24" s="12" t="s">
        <v>10</v>
      </c>
      <c r="E24" s="13" t="s">
        <v>180</v>
      </c>
      <c r="F24" s="13" t="s">
        <v>181</v>
      </c>
      <c r="I24" s="14"/>
    </row>
    <row r="25" spans="1:9" x14ac:dyDescent="0.3">
      <c r="A25" s="6">
        <v>44647</v>
      </c>
      <c r="B25" s="18">
        <f t="shared" ref="B25" si="17">WEEKNUM(A25)</f>
        <v>14</v>
      </c>
      <c r="C25" s="11">
        <v>0.25</v>
      </c>
      <c r="D25" s="12" t="s">
        <v>10</v>
      </c>
      <c r="E25" s="13" t="s">
        <v>179</v>
      </c>
      <c r="F25" s="13"/>
      <c r="I25" s="14"/>
    </row>
    <row r="26" spans="1:9" ht="86.4" x14ac:dyDescent="0.3">
      <c r="A26" s="6">
        <v>44646</v>
      </c>
      <c r="B26" s="18">
        <f t="shared" ref="B26" si="18">WEEKNUM(A26)</f>
        <v>13</v>
      </c>
      <c r="C26" s="11">
        <v>1.5</v>
      </c>
      <c r="D26" s="12" t="s">
        <v>10</v>
      </c>
      <c r="E26" s="13" t="s">
        <v>177</v>
      </c>
      <c r="F26" s="13" t="s">
        <v>178</v>
      </c>
      <c r="I26" s="14"/>
    </row>
    <row r="27" spans="1:9" x14ac:dyDescent="0.3">
      <c r="A27" s="6">
        <v>44646</v>
      </c>
      <c r="B27" s="18">
        <f t="shared" ref="B27" si="19">WEEKNUM(A27)</f>
        <v>13</v>
      </c>
      <c r="C27" s="11">
        <v>3</v>
      </c>
      <c r="D27" s="12" t="s">
        <v>10</v>
      </c>
      <c r="E27" s="13" t="s">
        <v>218</v>
      </c>
      <c r="F27" s="13"/>
      <c r="I27" s="14"/>
    </row>
    <row r="28" spans="1:9" ht="28.8" x14ac:dyDescent="0.3">
      <c r="A28" s="6">
        <v>44646</v>
      </c>
      <c r="B28" s="18">
        <f t="shared" ref="B28:B29" si="20">WEEKNUM(A28)</f>
        <v>13</v>
      </c>
      <c r="C28" s="11">
        <v>0.5</v>
      </c>
      <c r="D28" s="12" t="s">
        <v>10</v>
      </c>
      <c r="E28" s="13" t="s">
        <v>175</v>
      </c>
      <c r="F28" s="13" t="s">
        <v>176</v>
      </c>
      <c r="I28" s="14"/>
    </row>
    <row r="29" spans="1:9" x14ac:dyDescent="0.3">
      <c r="A29" s="6">
        <v>44645</v>
      </c>
      <c r="B29" s="18">
        <f t="shared" si="20"/>
        <v>13</v>
      </c>
      <c r="C29" s="11">
        <v>1.5</v>
      </c>
      <c r="D29" s="12" t="s">
        <v>11</v>
      </c>
      <c r="E29" s="13" t="s">
        <v>217</v>
      </c>
      <c r="F29" s="13"/>
      <c r="I29" s="14"/>
    </row>
    <row r="30" spans="1:9" ht="129.6" x14ac:dyDescent="0.3">
      <c r="A30" s="6">
        <v>44645</v>
      </c>
      <c r="B30" s="18">
        <f t="shared" ref="B30" si="21">WEEKNUM(A30)</f>
        <v>13</v>
      </c>
      <c r="C30" s="11">
        <v>2.5</v>
      </c>
      <c r="D30" s="12" t="s">
        <v>10</v>
      </c>
      <c r="E30" s="13" t="s">
        <v>173</v>
      </c>
      <c r="F30" s="13" t="s">
        <v>174</v>
      </c>
      <c r="I30" s="14"/>
    </row>
    <row r="31" spans="1:9" ht="129.6" x14ac:dyDescent="0.3">
      <c r="A31" s="6">
        <v>44645</v>
      </c>
      <c r="B31" s="18">
        <f t="shared" ref="B31" si="22">WEEKNUM(A31)</f>
        <v>13</v>
      </c>
      <c r="C31" s="11">
        <v>1</v>
      </c>
      <c r="D31" s="12" t="s">
        <v>12</v>
      </c>
      <c r="E31" s="13" t="s">
        <v>171</v>
      </c>
      <c r="F31" s="13" t="s">
        <v>172</v>
      </c>
      <c r="I31" s="14"/>
    </row>
    <row r="32" spans="1:9" ht="28.8" x14ac:dyDescent="0.3">
      <c r="A32" s="6">
        <v>44645</v>
      </c>
      <c r="B32" s="18">
        <f t="shared" ref="B32" si="23">WEEKNUM(A32)</f>
        <v>13</v>
      </c>
      <c r="C32" s="11">
        <v>1</v>
      </c>
      <c r="D32" s="12" t="s">
        <v>10</v>
      </c>
      <c r="E32" s="13" t="s">
        <v>170</v>
      </c>
      <c r="F32" s="13" t="s">
        <v>169</v>
      </c>
      <c r="I32" s="14"/>
    </row>
    <row r="33" spans="1:9" ht="28.8" x14ac:dyDescent="0.3">
      <c r="A33" s="6">
        <v>44645</v>
      </c>
      <c r="B33" s="18">
        <f t="shared" ref="B33" si="24">WEEKNUM(A33)</f>
        <v>13</v>
      </c>
      <c r="C33" s="11">
        <v>0.5</v>
      </c>
      <c r="D33" s="12" t="s">
        <v>12</v>
      </c>
      <c r="E33" s="13" t="s">
        <v>166</v>
      </c>
      <c r="F33" s="13" t="s">
        <v>168</v>
      </c>
      <c r="I33" s="14"/>
    </row>
    <row r="34" spans="1:9" x14ac:dyDescent="0.3">
      <c r="A34" s="6">
        <v>44645</v>
      </c>
      <c r="B34" s="18">
        <f t="shared" ref="B34" si="25">WEEKNUM(A34)</f>
        <v>13</v>
      </c>
      <c r="C34" s="11">
        <v>0.25</v>
      </c>
      <c r="D34" s="12" t="s">
        <v>12</v>
      </c>
      <c r="E34" s="13" t="s">
        <v>167</v>
      </c>
      <c r="F34" s="13"/>
      <c r="I34" s="14"/>
    </row>
    <row r="35" spans="1:9" ht="43.2" x14ac:dyDescent="0.3">
      <c r="A35" s="6">
        <v>44645</v>
      </c>
      <c r="B35" s="18">
        <f t="shared" ref="B35:B36" si="26">WEEKNUM(A35)</f>
        <v>13</v>
      </c>
      <c r="C35" s="11">
        <v>0.41666666666666669</v>
      </c>
      <c r="D35" s="12" t="s">
        <v>12</v>
      </c>
      <c r="E35" s="13" t="s">
        <v>162</v>
      </c>
      <c r="F35" s="13" t="s">
        <v>165</v>
      </c>
      <c r="I35" s="14"/>
    </row>
    <row r="36" spans="1:9" x14ac:dyDescent="0.3">
      <c r="A36" s="6">
        <v>44643</v>
      </c>
      <c r="B36" s="18">
        <f t="shared" si="26"/>
        <v>13</v>
      </c>
      <c r="C36" s="11">
        <v>0.2</v>
      </c>
      <c r="D36" s="12" t="s">
        <v>11</v>
      </c>
      <c r="E36" s="13" t="s">
        <v>160</v>
      </c>
      <c r="F36" s="13"/>
      <c r="I36" s="14"/>
    </row>
    <row r="37" spans="1:9" ht="43.2" x14ac:dyDescent="0.3">
      <c r="A37" s="6">
        <v>44643</v>
      </c>
      <c r="B37" s="18">
        <f t="shared" ref="B37" si="27">WEEKNUM(A37)</f>
        <v>13</v>
      </c>
      <c r="C37" s="11">
        <v>1</v>
      </c>
      <c r="D37" s="12" t="s">
        <v>10</v>
      </c>
      <c r="E37" s="13" t="s">
        <v>160</v>
      </c>
      <c r="F37" s="13" t="s">
        <v>161</v>
      </c>
      <c r="I37" s="14"/>
    </row>
    <row r="38" spans="1:9" ht="43.2" x14ac:dyDescent="0.3">
      <c r="A38" s="6">
        <v>44643</v>
      </c>
      <c r="B38" s="18">
        <f t="shared" ref="B38:B39" si="28">WEEKNUM(A38)</f>
        <v>13</v>
      </c>
      <c r="C38" s="11">
        <v>1</v>
      </c>
      <c r="D38" s="12" t="s">
        <v>10</v>
      </c>
      <c r="E38" s="13" t="s">
        <v>156</v>
      </c>
      <c r="F38" s="13" t="s">
        <v>157</v>
      </c>
      <c r="I38" s="14"/>
    </row>
    <row r="39" spans="1:9" x14ac:dyDescent="0.3">
      <c r="A39" s="6">
        <v>44643</v>
      </c>
      <c r="B39" s="18">
        <f t="shared" si="28"/>
        <v>13</v>
      </c>
      <c r="C39" s="11">
        <v>0.25</v>
      </c>
      <c r="D39" s="12" t="s">
        <v>11</v>
      </c>
      <c r="E39" s="13" t="s">
        <v>216</v>
      </c>
      <c r="F39" s="13"/>
      <c r="I39" s="14"/>
    </row>
    <row r="40" spans="1:9" x14ac:dyDescent="0.3">
      <c r="A40" s="6">
        <v>44643</v>
      </c>
      <c r="B40" s="18">
        <f t="shared" ref="B40:B41" si="29">WEEKNUM(A40)</f>
        <v>13</v>
      </c>
      <c r="C40" s="11">
        <v>0.75</v>
      </c>
      <c r="D40" s="12" t="s">
        <v>10</v>
      </c>
      <c r="E40" s="13" t="s">
        <v>155</v>
      </c>
      <c r="F40" s="13"/>
      <c r="I40" s="14"/>
    </row>
    <row r="41" spans="1:9" x14ac:dyDescent="0.3">
      <c r="A41" s="6">
        <v>44643</v>
      </c>
      <c r="B41" s="18">
        <f t="shared" si="29"/>
        <v>13</v>
      </c>
      <c r="C41" s="11">
        <v>0.16666666666666666</v>
      </c>
      <c r="D41" s="12" t="s">
        <v>11</v>
      </c>
      <c r="E41" s="13" t="s">
        <v>215</v>
      </c>
      <c r="F41" s="13"/>
      <c r="I41" s="14"/>
    </row>
    <row r="42" spans="1:9" ht="43.2" x14ac:dyDescent="0.3">
      <c r="A42" s="6">
        <v>44643</v>
      </c>
      <c r="B42" s="18">
        <f t="shared" ref="B42:B43" si="30">WEEKNUM(A42)</f>
        <v>13</v>
      </c>
      <c r="C42" s="11">
        <v>0.33333333333333331</v>
      </c>
      <c r="D42" s="12" t="s">
        <v>10</v>
      </c>
      <c r="E42" s="13" t="s">
        <v>154</v>
      </c>
      <c r="F42" s="13" t="s">
        <v>159</v>
      </c>
      <c r="I42" s="14"/>
    </row>
    <row r="43" spans="1:9" x14ac:dyDescent="0.3">
      <c r="A43" s="6">
        <v>44642</v>
      </c>
      <c r="B43" s="18">
        <f t="shared" si="30"/>
        <v>13</v>
      </c>
      <c r="C43" s="11">
        <v>0.25</v>
      </c>
      <c r="D43" s="12" t="s">
        <v>11</v>
      </c>
      <c r="E43" s="13" t="s">
        <v>214</v>
      </c>
      <c r="F43" s="13"/>
      <c r="I43" s="14"/>
    </row>
    <row r="44" spans="1:9" x14ac:dyDescent="0.3">
      <c r="A44" s="6">
        <v>44642</v>
      </c>
      <c r="B44" s="18">
        <f t="shared" ref="B44" si="31">WEEKNUM(A44)</f>
        <v>13</v>
      </c>
      <c r="C44" s="11">
        <v>1.25</v>
      </c>
      <c r="D44" s="12" t="s">
        <v>10</v>
      </c>
      <c r="E44" s="13" t="s">
        <v>153</v>
      </c>
      <c r="F44" s="13" t="s">
        <v>97</v>
      </c>
      <c r="I44" s="14"/>
    </row>
    <row r="45" spans="1:9" x14ac:dyDescent="0.3">
      <c r="A45" s="6">
        <v>44642</v>
      </c>
      <c r="B45" s="18">
        <f t="shared" ref="B45" si="32">WEEKNUM(A45)</f>
        <v>13</v>
      </c>
      <c r="C45" s="11">
        <v>1.5</v>
      </c>
      <c r="D45" s="12" t="s">
        <v>10</v>
      </c>
      <c r="E45" s="13" t="s">
        <v>158</v>
      </c>
      <c r="F45" s="13" t="s">
        <v>152</v>
      </c>
      <c r="I45" s="14"/>
    </row>
    <row r="46" spans="1:9" x14ac:dyDescent="0.3">
      <c r="A46" s="6">
        <v>44642</v>
      </c>
      <c r="B46" s="18">
        <f t="shared" ref="B46" si="33">WEEKNUM(A46)</f>
        <v>13</v>
      </c>
      <c r="C46" s="11">
        <v>0.25</v>
      </c>
      <c r="D46" s="12" t="s">
        <v>10</v>
      </c>
      <c r="E46" s="13" t="s">
        <v>151</v>
      </c>
      <c r="F46" s="13"/>
      <c r="I46" s="14"/>
    </row>
    <row r="47" spans="1:9" ht="43.2" x14ac:dyDescent="0.3">
      <c r="A47" s="6">
        <v>44642</v>
      </c>
      <c r="B47" s="18">
        <f t="shared" ref="B47" si="34">WEEKNUM(A47)</f>
        <v>13</v>
      </c>
      <c r="C47" s="11">
        <v>0.25</v>
      </c>
      <c r="D47" s="12" t="s">
        <v>10</v>
      </c>
      <c r="E47" s="13" t="s">
        <v>149</v>
      </c>
      <c r="F47" s="13" t="s">
        <v>150</v>
      </c>
      <c r="I47" s="14"/>
    </row>
    <row r="48" spans="1:9" x14ac:dyDescent="0.3">
      <c r="A48" s="6">
        <v>44642</v>
      </c>
      <c r="B48" s="18">
        <f t="shared" ref="B48" si="35">WEEKNUM(A48)</f>
        <v>13</v>
      </c>
      <c r="C48" s="11">
        <v>1</v>
      </c>
      <c r="D48" s="12" t="s">
        <v>10</v>
      </c>
      <c r="E48" s="13" t="s">
        <v>147</v>
      </c>
      <c r="F48" s="13" t="s">
        <v>148</v>
      </c>
      <c r="I48" s="14"/>
    </row>
    <row r="49" spans="1:9" x14ac:dyDescent="0.3">
      <c r="A49" s="6">
        <v>44641</v>
      </c>
      <c r="B49" s="18">
        <f t="shared" ref="B49:B50" si="36">WEEKNUM(A49)</f>
        <v>13</v>
      </c>
      <c r="C49" s="11">
        <v>0.75</v>
      </c>
      <c r="D49" s="12" t="s">
        <v>13</v>
      </c>
      <c r="E49" s="13" t="s">
        <v>146</v>
      </c>
      <c r="F49" s="13"/>
      <c r="I49" s="14"/>
    </row>
    <row r="50" spans="1:9" x14ac:dyDescent="0.3">
      <c r="A50" s="6">
        <v>44641</v>
      </c>
      <c r="B50" s="18">
        <f t="shared" si="36"/>
        <v>13</v>
      </c>
      <c r="C50" s="11">
        <v>0.5</v>
      </c>
      <c r="D50" s="12" t="s">
        <v>11</v>
      </c>
      <c r="E50" s="13" t="s">
        <v>213</v>
      </c>
      <c r="F50" s="13"/>
      <c r="I50" s="14"/>
    </row>
    <row r="51" spans="1:9" ht="28.8" x14ac:dyDescent="0.3">
      <c r="A51" s="6">
        <v>44641</v>
      </c>
      <c r="B51" s="18">
        <f t="shared" ref="B51:B52" si="37">WEEKNUM(A51)</f>
        <v>13</v>
      </c>
      <c r="C51" s="11">
        <v>1</v>
      </c>
      <c r="D51" s="12" t="s">
        <v>10</v>
      </c>
      <c r="E51" s="13" t="s">
        <v>145</v>
      </c>
      <c r="F51" s="13" t="s">
        <v>144</v>
      </c>
      <c r="I51" s="14"/>
    </row>
    <row r="52" spans="1:9" x14ac:dyDescent="0.3">
      <c r="A52" s="6">
        <v>44640</v>
      </c>
      <c r="B52" s="18">
        <f t="shared" si="37"/>
        <v>13</v>
      </c>
      <c r="C52" s="11">
        <v>0.5</v>
      </c>
      <c r="D52" s="12" t="s">
        <v>11</v>
      </c>
      <c r="E52" s="13" t="s">
        <v>212</v>
      </c>
      <c r="F52" s="13"/>
      <c r="I52" s="14"/>
    </row>
    <row r="53" spans="1:9" ht="57.6" x14ac:dyDescent="0.3">
      <c r="A53" s="6">
        <v>44640</v>
      </c>
      <c r="B53" s="18">
        <f t="shared" ref="B53" si="38">WEEKNUM(A53)</f>
        <v>13</v>
      </c>
      <c r="C53" s="11">
        <v>2.5</v>
      </c>
      <c r="D53" s="12" t="s">
        <v>10</v>
      </c>
      <c r="E53" s="13" t="s">
        <v>140</v>
      </c>
      <c r="F53" s="13" t="s">
        <v>142</v>
      </c>
      <c r="I53" s="14"/>
    </row>
    <row r="54" spans="1:9" x14ac:dyDescent="0.3">
      <c r="A54" s="6">
        <v>44640</v>
      </c>
      <c r="B54" s="18">
        <f t="shared" ref="B54" si="39">WEEKNUM(A54)</f>
        <v>13</v>
      </c>
      <c r="C54" s="11">
        <v>8.3333333333333329E-2</v>
      </c>
      <c r="D54" s="12" t="s">
        <v>12</v>
      </c>
      <c r="E54" s="13" t="s">
        <v>139</v>
      </c>
      <c r="F54" s="13"/>
      <c r="I54" s="14"/>
    </row>
    <row r="55" spans="1:9" ht="72" x14ac:dyDescent="0.3">
      <c r="A55" s="6">
        <v>44639</v>
      </c>
      <c r="B55" s="18">
        <f t="shared" ref="B55:B56" si="40">WEEKNUM(A55)</f>
        <v>12</v>
      </c>
      <c r="C55" s="11">
        <v>1.5</v>
      </c>
      <c r="D55" s="12" t="s">
        <v>10</v>
      </c>
      <c r="E55" s="13" t="s">
        <v>138</v>
      </c>
      <c r="F55" s="13" t="s">
        <v>143</v>
      </c>
      <c r="I55" s="14"/>
    </row>
    <row r="56" spans="1:9" x14ac:dyDescent="0.3">
      <c r="A56" s="6">
        <v>44639</v>
      </c>
      <c r="B56" s="18">
        <f t="shared" si="40"/>
        <v>12</v>
      </c>
      <c r="C56" s="11">
        <v>0.5</v>
      </c>
      <c r="D56" s="12" t="s">
        <v>11</v>
      </c>
      <c r="E56" s="13" t="s">
        <v>211</v>
      </c>
      <c r="F56" s="13"/>
      <c r="I56" s="14"/>
    </row>
    <row r="57" spans="1:9" ht="158.4" x14ac:dyDescent="0.3">
      <c r="A57" s="6">
        <v>44639</v>
      </c>
      <c r="B57" s="18">
        <f t="shared" ref="B57" si="41">WEEKNUM(A57)</f>
        <v>12</v>
      </c>
      <c r="C57" s="11">
        <v>2.5</v>
      </c>
      <c r="D57" s="12" t="s">
        <v>10</v>
      </c>
      <c r="E57" s="13" t="s">
        <v>137</v>
      </c>
      <c r="F57" s="13" t="s">
        <v>141</v>
      </c>
      <c r="I57" s="14"/>
    </row>
    <row r="58" spans="1:9" x14ac:dyDescent="0.3">
      <c r="A58" s="6">
        <v>44638</v>
      </c>
      <c r="B58" s="18">
        <f t="shared" ref="B58" si="42">WEEKNUM(A58)</f>
        <v>12</v>
      </c>
      <c r="C58" s="11">
        <v>0.75</v>
      </c>
      <c r="D58" s="12" t="s">
        <v>10</v>
      </c>
      <c r="E58" s="13" t="s">
        <v>134</v>
      </c>
      <c r="F58" s="13"/>
      <c r="I58" s="14"/>
    </row>
    <row r="59" spans="1:9" ht="57.6" x14ac:dyDescent="0.3">
      <c r="A59" s="6">
        <v>44638</v>
      </c>
      <c r="B59" s="18">
        <f t="shared" ref="B59" si="43">WEEKNUM(A59)</f>
        <v>12</v>
      </c>
      <c r="C59" s="11">
        <v>0.41666666666666669</v>
      </c>
      <c r="D59" s="12" t="s">
        <v>10</v>
      </c>
      <c r="E59" s="13" t="s">
        <v>132</v>
      </c>
      <c r="F59" s="13" t="s">
        <v>133</v>
      </c>
      <c r="I59" s="14"/>
    </row>
    <row r="60" spans="1:9" ht="57.6" x14ac:dyDescent="0.3">
      <c r="A60" s="6">
        <v>44638</v>
      </c>
      <c r="B60" s="18">
        <f t="shared" ref="B60" si="44">WEEKNUM(A60)</f>
        <v>12</v>
      </c>
      <c r="C60" s="11">
        <v>0.5</v>
      </c>
      <c r="D60" s="12" t="s">
        <v>10</v>
      </c>
      <c r="E60" s="13" t="s">
        <v>130</v>
      </c>
      <c r="F60" s="13" t="s">
        <v>131</v>
      </c>
      <c r="I60" s="14"/>
    </row>
    <row r="61" spans="1:9" ht="72" x14ac:dyDescent="0.3">
      <c r="A61" s="6">
        <v>44636</v>
      </c>
      <c r="B61" s="18">
        <f t="shared" ref="B61" si="45">WEEKNUM(A61)</f>
        <v>12</v>
      </c>
      <c r="C61" s="11">
        <v>1.4</v>
      </c>
      <c r="D61" s="12" t="s">
        <v>10</v>
      </c>
      <c r="E61" s="13" t="s">
        <v>128</v>
      </c>
      <c r="F61" s="13" t="s">
        <v>129</v>
      </c>
      <c r="I61" s="14"/>
    </row>
    <row r="62" spans="1:9" x14ac:dyDescent="0.3">
      <c r="A62" s="6">
        <v>44635</v>
      </c>
      <c r="B62" s="18">
        <f t="shared" ref="B62:B63" si="46">WEEKNUM(A62)</f>
        <v>12</v>
      </c>
      <c r="C62" s="11">
        <v>0.75</v>
      </c>
      <c r="D62" s="12" t="s">
        <v>10</v>
      </c>
      <c r="E62" s="13" t="s">
        <v>127</v>
      </c>
      <c r="F62" s="13"/>
      <c r="I62" s="14"/>
    </row>
    <row r="63" spans="1:9" x14ac:dyDescent="0.3">
      <c r="A63" s="6">
        <v>44635</v>
      </c>
      <c r="B63" s="18">
        <f t="shared" si="46"/>
        <v>12</v>
      </c>
      <c r="C63" s="11">
        <v>0.5</v>
      </c>
      <c r="D63" s="12" t="s">
        <v>11</v>
      </c>
      <c r="E63" s="13" t="s">
        <v>210</v>
      </c>
      <c r="F63" s="13"/>
      <c r="I63" s="14"/>
    </row>
    <row r="64" spans="1:9" ht="43.2" x14ac:dyDescent="0.3">
      <c r="A64" s="6">
        <v>44635</v>
      </c>
      <c r="B64" s="18">
        <f t="shared" ref="B64:B65" si="47">WEEKNUM(A64)</f>
        <v>12</v>
      </c>
      <c r="C64" s="11">
        <v>1.5</v>
      </c>
      <c r="D64" s="12" t="s">
        <v>10</v>
      </c>
      <c r="E64" s="13" t="s">
        <v>126</v>
      </c>
      <c r="F64" s="13" t="s">
        <v>125</v>
      </c>
      <c r="I64" s="14"/>
    </row>
    <row r="65" spans="1:9" x14ac:dyDescent="0.3">
      <c r="A65" s="6">
        <v>44634</v>
      </c>
      <c r="B65" s="18">
        <f t="shared" si="47"/>
        <v>12</v>
      </c>
      <c r="C65" s="11">
        <v>1</v>
      </c>
      <c r="D65" s="12" t="s">
        <v>11</v>
      </c>
      <c r="E65" s="13" t="s">
        <v>209</v>
      </c>
      <c r="F65" s="13"/>
      <c r="I65" s="14"/>
    </row>
    <row r="66" spans="1:9" x14ac:dyDescent="0.3">
      <c r="A66" s="6">
        <v>44634</v>
      </c>
      <c r="B66" s="18">
        <f t="shared" ref="B66" si="48">WEEKNUM(A66)</f>
        <v>12</v>
      </c>
      <c r="C66" s="11">
        <v>1</v>
      </c>
      <c r="D66" s="12" t="s">
        <v>10</v>
      </c>
      <c r="E66" s="13" t="s">
        <v>123</v>
      </c>
      <c r="F66" s="13"/>
      <c r="I66" s="14"/>
    </row>
    <row r="67" spans="1:9" x14ac:dyDescent="0.3">
      <c r="A67" s="6">
        <v>44634</v>
      </c>
      <c r="B67" s="18">
        <f t="shared" ref="B67" si="49">WEEKNUM(A67)</f>
        <v>12</v>
      </c>
      <c r="C67" s="11">
        <v>0.5</v>
      </c>
      <c r="D67" s="12" t="s">
        <v>10</v>
      </c>
      <c r="E67" s="13" t="s">
        <v>124</v>
      </c>
      <c r="F67" s="13"/>
      <c r="I67" s="14"/>
    </row>
    <row r="68" spans="1:9" ht="28.8" x14ac:dyDescent="0.3">
      <c r="A68" s="6">
        <v>44633</v>
      </c>
      <c r="B68" s="18">
        <f t="shared" ref="B68:B69" si="50">WEEKNUM(A68)</f>
        <v>12</v>
      </c>
      <c r="C68" s="11">
        <v>0.5</v>
      </c>
      <c r="D68" s="12" t="s">
        <v>10</v>
      </c>
      <c r="E68" s="13" t="s">
        <v>121</v>
      </c>
      <c r="F68" s="13" t="s">
        <v>122</v>
      </c>
      <c r="I68" s="14"/>
    </row>
    <row r="69" spans="1:9" x14ac:dyDescent="0.3">
      <c r="A69" s="6">
        <v>44633</v>
      </c>
      <c r="B69" s="18">
        <f t="shared" si="50"/>
        <v>12</v>
      </c>
      <c r="C69" s="11">
        <v>0.5</v>
      </c>
      <c r="D69" s="12" t="s">
        <v>11</v>
      </c>
      <c r="E69" s="13" t="s">
        <v>208</v>
      </c>
      <c r="F69" s="13"/>
      <c r="I69" s="14"/>
    </row>
    <row r="70" spans="1:9" ht="100.8" x14ac:dyDescent="0.3">
      <c r="A70" s="6">
        <v>44633</v>
      </c>
      <c r="B70" s="18">
        <f t="shared" ref="B70" si="51">WEEKNUM(A70)</f>
        <v>12</v>
      </c>
      <c r="C70" s="11">
        <v>1</v>
      </c>
      <c r="D70" s="12" t="s">
        <v>10</v>
      </c>
      <c r="E70" s="13" t="s">
        <v>208</v>
      </c>
      <c r="F70" s="13" t="s">
        <v>120</v>
      </c>
      <c r="I70" s="14"/>
    </row>
    <row r="71" spans="1:9" ht="86.4" x14ac:dyDescent="0.3">
      <c r="A71" s="6">
        <v>44633</v>
      </c>
      <c r="B71" s="18">
        <f t="shared" ref="B71" si="52">WEEKNUM(A71)</f>
        <v>12</v>
      </c>
      <c r="C71" s="11">
        <v>2</v>
      </c>
      <c r="D71" s="12" t="s">
        <v>6</v>
      </c>
      <c r="E71" s="13" t="s">
        <v>163</v>
      </c>
      <c r="F71" s="13" t="s">
        <v>119</v>
      </c>
      <c r="I71" s="14"/>
    </row>
    <row r="72" spans="1:9" ht="43.2" x14ac:dyDescent="0.3">
      <c r="A72" s="6">
        <v>44633</v>
      </c>
      <c r="B72" s="18">
        <f t="shared" ref="B72" si="53">WEEKNUM(A72)</f>
        <v>12</v>
      </c>
      <c r="C72" s="11">
        <v>0.25</v>
      </c>
      <c r="D72" s="12" t="s">
        <v>10</v>
      </c>
      <c r="E72" s="13" t="s">
        <v>117</v>
      </c>
      <c r="F72" s="13" t="s">
        <v>118</v>
      </c>
      <c r="I72" s="14"/>
    </row>
    <row r="73" spans="1:9" x14ac:dyDescent="0.3">
      <c r="A73" s="6">
        <v>44631</v>
      </c>
      <c r="B73" s="18">
        <f t="shared" ref="B73" si="54">WEEKNUM(A73)</f>
        <v>11</v>
      </c>
      <c r="C73" s="11">
        <v>0.25</v>
      </c>
      <c r="D73" s="12" t="s">
        <v>10</v>
      </c>
      <c r="E73" s="13" t="s">
        <v>116</v>
      </c>
      <c r="F73" s="13"/>
      <c r="I73" s="14"/>
    </row>
    <row r="74" spans="1:9" x14ac:dyDescent="0.3">
      <c r="A74" s="6">
        <v>44631</v>
      </c>
      <c r="B74" s="18">
        <f t="shared" ref="B74" si="55">WEEKNUM(A74)</f>
        <v>11</v>
      </c>
      <c r="C74" s="11">
        <v>0.5</v>
      </c>
      <c r="D74" s="12" t="s">
        <v>6</v>
      </c>
      <c r="E74" s="13" t="s">
        <v>114</v>
      </c>
      <c r="F74" s="13" t="s">
        <v>115</v>
      </c>
      <c r="I74" s="14"/>
    </row>
    <row r="75" spans="1:9" x14ac:dyDescent="0.3">
      <c r="A75" s="6">
        <v>44631</v>
      </c>
      <c r="B75" s="18">
        <f t="shared" ref="B75" si="56">WEEKNUM(A75)</f>
        <v>11</v>
      </c>
      <c r="C75" s="11">
        <v>0.75</v>
      </c>
      <c r="D75" s="12" t="s">
        <v>6</v>
      </c>
      <c r="E75" s="13" t="s">
        <v>113</v>
      </c>
      <c r="F75" s="13"/>
      <c r="I75" s="14"/>
    </row>
    <row r="76" spans="1:9" x14ac:dyDescent="0.3">
      <c r="A76" s="6">
        <v>44629</v>
      </c>
      <c r="B76" s="18">
        <f t="shared" ref="B76" si="57">WEEKNUM(A76)</f>
        <v>11</v>
      </c>
      <c r="C76" s="11">
        <v>1.5</v>
      </c>
      <c r="D76" s="12" t="s">
        <v>11</v>
      </c>
      <c r="E76" s="13" t="s">
        <v>111</v>
      </c>
      <c r="F76" s="13"/>
      <c r="I76" s="14"/>
    </row>
    <row r="77" spans="1:9" ht="28.8" x14ac:dyDescent="0.3">
      <c r="A77" s="6">
        <v>44628</v>
      </c>
      <c r="B77" s="18">
        <f t="shared" ref="B77" si="58">WEEKNUM(A77)</f>
        <v>11</v>
      </c>
      <c r="C77" s="11">
        <v>1.75</v>
      </c>
      <c r="D77" s="12" t="s">
        <v>10</v>
      </c>
      <c r="E77" s="13" t="s">
        <v>111</v>
      </c>
      <c r="F77" s="13" t="s">
        <v>112</v>
      </c>
      <c r="I77" s="14"/>
    </row>
    <row r="78" spans="1:9" x14ac:dyDescent="0.3">
      <c r="A78" s="6">
        <v>44628</v>
      </c>
      <c r="B78" s="18">
        <f t="shared" ref="B78" si="59">WEEKNUM(A78)</f>
        <v>11</v>
      </c>
      <c r="C78" s="11">
        <v>8.3333333333333329E-2</v>
      </c>
      <c r="D78" s="12" t="s">
        <v>6</v>
      </c>
      <c r="E78" s="13" t="s">
        <v>110</v>
      </c>
      <c r="F78" s="13"/>
      <c r="I78" s="14"/>
    </row>
    <row r="79" spans="1:9" ht="72" x14ac:dyDescent="0.3">
      <c r="A79" s="6">
        <v>44628</v>
      </c>
      <c r="B79" s="18">
        <f t="shared" ref="B79" si="60">WEEKNUM(A79)</f>
        <v>11</v>
      </c>
      <c r="C79" s="11">
        <f>1 + 1/4</f>
        <v>1.25</v>
      </c>
      <c r="D79" s="12" t="s">
        <v>6</v>
      </c>
      <c r="E79" s="13" t="s">
        <v>108</v>
      </c>
      <c r="F79" s="13" t="s">
        <v>109</v>
      </c>
      <c r="I79" s="14"/>
    </row>
    <row r="80" spans="1:9" x14ac:dyDescent="0.3">
      <c r="A80" s="6">
        <v>44627</v>
      </c>
      <c r="B80" s="18">
        <f t="shared" ref="B80" si="61">WEEKNUM(A80)</f>
        <v>11</v>
      </c>
      <c r="C80" s="11">
        <v>1.5</v>
      </c>
      <c r="D80" s="12" t="s">
        <v>10</v>
      </c>
      <c r="E80" s="13" t="s">
        <v>107</v>
      </c>
      <c r="F80" s="13"/>
      <c r="I80" s="14"/>
    </row>
    <row r="81" spans="1:9" ht="43.2" x14ac:dyDescent="0.3">
      <c r="A81" s="6">
        <v>44627</v>
      </c>
      <c r="B81" s="18">
        <f t="shared" ref="B81" si="62">WEEKNUM(A81)</f>
        <v>11</v>
      </c>
      <c r="C81" s="11">
        <v>0.25</v>
      </c>
      <c r="D81" s="12" t="s">
        <v>10</v>
      </c>
      <c r="E81" s="13" t="s">
        <v>106</v>
      </c>
      <c r="F81" s="13" t="s">
        <v>164</v>
      </c>
      <c r="I81" s="14"/>
    </row>
    <row r="82" spans="1:9" x14ac:dyDescent="0.3">
      <c r="A82" s="6">
        <v>44627</v>
      </c>
      <c r="B82" s="18">
        <f t="shared" ref="B82" si="63">WEEKNUM(A82)</f>
        <v>11</v>
      </c>
      <c r="C82" s="11">
        <v>0.5</v>
      </c>
      <c r="D82" s="12" t="s">
        <v>13</v>
      </c>
      <c r="E82" s="13" t="s">
        <v>105</v>
      </c>
      <c r="F82" s="13"/>
      <c r="I82" s="14"/>
    </row>
    <row r="83" spans="1:9" x14ac:dyDescent="0.3">
      <c r="A83" s="6">
        <v>44624</v>
      </c>
      <c r="B83" s="18">
        <f t="shared" ref="B83" si="64">WEEKNUM(A83)</f>
        <v>10</v>
      </c>
      <c r="C83" s="11">
        <v>1.25</v>
      </c>
      <c r="D83" s="12" t="s">
        <v>6</v>
      </c>
      <c r="E83" s="13" t="s">
        <v>104</v>
      </c>
      <c r="F83" s="13"/>
      <c r="I83" s="14"/>
    </row>
    <row r="84" spans="1:9" x14ac:dyDescent="0.3">
      <c r="A84" s="6">
        <v>44622</v>
      </c>
      <c r="B84" s="18">
        <f t="shared" ref="B84" si="65">WEEKNUM(A84)</f>
        <v>10</v>
      </c>
      <c r="C84" s="11">
        <v>0.5</v>
      </c>
      <c r="D84" s="12" t="s">
        <v>12</v>
      </c>
      <c r="E84" s="13" t="s">
        <v>103</v>
      </c>
      <c r="F84" s="13"/>
      <c r="I84" s="14"/>
    </row>
    <row r="85" spans="1:9" x14ac:dyDescent="0.3">
      <c r="A85" s="6">
        <v>44622</v>
      </c>
      <c r="B85" s="18">
        <f t="shared" ref="B85" si="66">WEEKNUM(A85)</f>
        <v>10</v>
      </c>
      <c r="C85" s="11">
        <v>0.75</v>
      </c>
      <c r="D85" s="12" t="s">
        <v>12</v>
      </c>
      <c r="E85" s="13" t="s">
        <v>102</v>
      </c>
      <c r="F85" s="13"/>
      <c r="I85" s="14"/>
    </row>
    <row r="86" spans="1:9" x14ac:dyDescent="0.3">
      <c r="A86" s="6">
        <v>44622</v>
      </c>
      <c r="B86" s="18">
        <f t="shared" ref="B86" si="67">WEEKNUM(A86)</f>
        <v>10</v>
      </c>
      <c r="C86" s="11">
        <v>0.16666666666666666</v>
      </c>
      <c r="D86" s="12" t="s">
        <v>12</v>
      </c>
      <c r="E86" s="13" t="s">
        <v>101</v>
      </c>
      <c r="F86" s="13"/>
      <c r="I86" s="14"/>
    </row>
    <row r="87" spans="1:9" x14ac:dyDescent="0.3">
      <c r="A87" s="6">
        <v>44622</v>
      </c>
      <c r="B87" s="18">
        <f t="shared" ref="B87" si="68">WEEKNUM(A87)</f>
        <v>10</v>
      </c>
      <c r="C87" s="11">
        <v>0.33333333333333331</v>
      </c>
      <c r="D87" s="12" t="s">
        <v>12</v>
      </c>
      <c r="E87" s="13" t="s">
        <v>100</v>
      </c>
      <c r="F87" s="13"/>
      <c r="I87" s="14"/>
    </row>
    <row r="88" spans="1:9" x14ac:dyDescent="0.3">
      <c r="A88" s="6">
        <v>44621</v>
      </c>
      <c r="B88" s="18">
        <f t="shared" ref="B88" si="69">WEEKNUM(A88)</f>
        <v>10</v>
      </c>
      <c r="C88" s="11">
        <v>0.33333333333333331</v>
      </c>
      <c r="D88" s="12" t="s">
        <v>12</v>
      </c>
      <c r="E88" s="13" t="s">
        <v>99</v>
      </c>
      <c r="F88" s="13"/>
      <c r="I88" s="14"/>
    </row>
    <row r="89" spans="1:9" x14ac:dyDescent="0.3">
      <c r="A89" s="6">
        <v>44621</v>
      </c>
      <c r="B89" s="18">
        <f t="shared" ref="B89" si="70">WEEKNUM(A89)</f>
        <v>10</v>
      </c>
      <c r="C89" s="11">
        <v>0.25</v>
      </c>
      <c r="D89" s="12" t="s">
        <v>6</v>
      </c>
      <c r="E89" s="13" t="s">
        <v>98</v>
      </c>
      <c r="F89" s="13"/>
      <c r="I89" s="14"/>
    </row>
    <row r="90" spans="1:9" x14ac:dyDescent="0.3">
      <c r="A90" s="6">
        <v>44621</v>
      </c>
      <c r="B90" s="18">
        <f t="shared" ref="B90" si="71">WEEKNUM(A90)</f>
        <v>10</v>
      </c>
      <c r="C90" s="11">
        <v>1</v>
      </c>
      <c r="D90" s="12" t="s">
        <v>6</v>
      </c>
      <c r="E90" s="13" t="s">
        <v>96</v>
      </c>
      <c r="F90" s="13" t="s">
        <v>97</v>
      </c>
      <c r="I90" s="14"/>
    </row>
    <row r="91" spans="1:9" x14ac:dyDescent="0.3">
      <c r="A91" s="6">
        <v>44621</v>
      </c>
      <c r="B91" s="18">
        <f t="shared" ref="B91" si="72">WEEKNUM(A91)</f>
        <v>10</v>
      </c>
      <c r="C91" s="11">
        <v>0.5</v>
      </c>
      <c r="D91" s="12" t="s">
        <v>12</v>
      </c>
      <c r="E91" s="13" t="s">
        <v>95</v>
      </c>
      <c r="F91" s="13"/>
      <c r="I91" s="14"/>
    </row>
    <row r="92" spans="1:9" ht="28.8" x14ac:dyDescent="0.3">
      <c r="A92" s="6">
        <v>44621</v>
      </c>
      <c r="B92" s="18">
        <f t="shared" ref="B92" si="73">WEEKNUM(A92)</f>
        <v>10</v>
      </c>
      <c r="C92" s="11">
        <v>0.75</v>
      </c>
      <c r="D92" s="12" t="s">
        <v>6</v>
      </c>
      <c r="E92" s="13" t="s">
        <v>93</v>
      </c>
      <c r="F92" s="13" t="s">
        <v>94</v>
      </c>
      <c r="I92" s="14"/>
    </row>
    <row r="93" spans="1:9" x14ac:dyDescent="0.3">
      <c r="A93" s="6">
        <v>44620</v>
      </c>
      <c r="B93" s="18">
        <f t="shared" ref="B93" si="74">WEEKNUM(A93)</f>
        <v>10</v>
      </c>
      <c r="C93" s="11">
        <v>0.9</v>
      </c>
      <c r="D93" s="12" t="s">
        <v>6</v>
      </c>
      <c r="E93" s="13" t="s">
        <v>92</v>
      </c>
      <c r="F93" s="13"/>
      <c r="I93" s="14"/>
    </row>
    <row r="94" spans="1:9" ht="28.8" x14ac:dyDescent="0.3">
      <c r="A94" s="6">
        <v>44620</v>
      </c>
      <c r="B94" s="18">
        <f t="shared" ref="B94" si="75">WEEKNUM(A94)</f>
        <v>10</v>
      </c>
      <c r="C94" s="11">
        <v>1.5</v>
      </c>
      <c r="D94" s="12" t="s">
        <v>6</v>
      </c>
      <c r="E94" s="13" t="s">
        <v>90</v>
      </c>
      <c r="F94" s="13" t="s">
        <v>91</v>
      </c>
      <c r="I94" s="14"/>
    </row>
    <row r="95" spans="1:9" ht="28.8" x14ac:dyDescent="0.3">
      <c r="A95" s="6">
        <v>44620</v>
      </c>
      <c r="B95" s="18">
        <f t="shared" ref="B95" si="76">WEEKNUM(A95)</f>
        <v>10</v>
      </c>
      <c r="C95" s="11">
        <v>0.16666666666666666</v>
      </c>
      <c r="D95" s="12" t="s">
        <v>12</v>
      </c>
      <c r="E95" s="13" t="s">
        <v>83</v>
      </c>
      <c r="F95" s="13" t="s">
        <v>89</v>
      </c>
      <c r="I95" s="14"/>
    </row>
    <row r="96" spans="1:9" x14ac:dyDescent="0.3">
      <c r="A96" s="6">
        <v>44617</v>
      </c>
      <c r="B96" s="18">
        <f t="shared" ref="B96" si="77">WEEKNUM(A96)</f>
        <v>9</v>
      </c>
      <c r="C96" s="11">
        <v>3</v>
      </c>
      <c r="D96" s="12" t="s">
        <v>12</v>
      </c>
      <c r="E96" s="13" t="s">
        <v>87</v>
      </c>
      <c r="F96" s="13" t="s">
        <v>88</v>
      </c>
      <c r="I96" s="14"/>
    </row>
    <row r="97" spans="1:9" x14ac:dyDescent="0.3">
      <c r="A97" s="6">
        <v>44614</v>
      </c>
      <c r="B97" s="18">
        <f t="shared" ref="B97" si="78">WEEKNUM(A97)</f>
        <v>9</v>
      </c>
      <c r="C97" s="11">
        <v>3</v>
      </c>
      <c r="D97" s="12" t="s">
        <v>12</v>
      </c>
      <c r="E97" s="13" t="s">
        <v>86</v>
      </c>
      <c r="F97" s="13"/>
      <c r="I97" s="14"/>
    </row>
    <row r="98" spans="1:9" x14ac:dyDescent="0.3">
      <c r="A98" s="6">
        <v>44614</v>
      </c>
      <c r="B98" s="18">
        <f t="shared" ref="B98" si="79">WEEKNUM(A98)</f>
        <v>9</v>
      </c>
      <c r="C98" s="11">
        <v>2.5</v>
      </c>
      <c r="D98" s="12" t="s">
        <v>12</v>
      </c>
      <c r="E98" s="13" t="s">
        <v>85</v>
      </c>
      <c r="F98" s="13"/>
      <c r="I98" s="14"/>
    </row>
    <row r="99" spans="1:9" x14ac:dyDescent="0.3">
      <c r="A99" s="6">
        <v>44614</v>
      </c>
      <c r="B99" s="18">
        <f t="shared" ref="B99" si="80">WEEKNUM(A99)</f>
        <v>9</v>
      </c>
      <c r="C99" s="11">
        <v>0.16666666666666666</v>
      </c>
      <c r="D99" s="12" t="s">
        <v>6</v>
      </c>
      <c r="E99" s="13" t="s">
        <v>84</v>
      </c>
      <c r="F99" s="13"/>
      <c r="I99" s="14"/>
    </row>
    <row r="100" spans="1:9" x14ac:dyDescent="0.3">
      <c r="A100" s="6">
        <v>44610</v>
      </c>
      <c r="B100" s="18">
        <f t="shared" ref="B100" si="81">WEEKNUM(A100)</f>
        <v>8</v>
      </c>
      <c r="C100" s="11">
        <v>0.16666666666666666</v>
      </c>
      <c r="D100" s="12" t="s">
        <v>12</v>
      </c>
      <c r="E100" s="13" t="s">
        <v>83</v>
      </c>
      <c r="F100" s="13"/>
      <c r="I100" s="14"/>
    </row>
    <row r="101" spans="1:9" x14ac:dyDescent="0.3">
      <c r="A101" s="6">
        <v>44610</v>
      </c>
      <c r="B101" s="18">
        <f t="shared" ref="B101" si="82">WEEKNUM(A101)</f>
        <v>8</v>
      </c>
      <c r="C101" s="11">
        <v>0.5</v>
      </c>
      <c r="D101" s="12" t="s">
        <v>10</v>
      </c>
      <c r="E101" s="13" t="s">
        <v>81</v>
      </c>
      <c r="F101" s="13" t="s">
        <v>82</v>
      </c>
      <c r="I101" s="14"/>
    </row>
    <row r="102" spans="1:9" x14ac:dyDescent="0.3">
      <c r="A102" s="6">
        <v>44610</v>
      </c>
      <c r="B102" s="18">
        <f t="shared" ref="B102" si="83">WEEKNUM(A102)</f>
        <v>8</v>
      </c>
      <c r="C102" s="11">
        <v>0.5</v>
      </c>
      <c r="D102" s="12" t="s">
        <v>6</v>
      </c>
      <c r="E102" s="13" t="s">
        <v>80</v>
      </c>
      <c r="F102" s="13"/>
      <c r="I102" s="14"/>
    </row>
    <row r="103" spans="1:9" x14ac:dyDescent="0.3">
      <c r="A103" s="6">
        <v>44610</v>
      </c>
      <c r="B103" s="18">
        <f t="shared" ref="B103" si="84">WEEKNUM(A103)</f>
        <v>8</v>
      </c>
      <c r="C103" s="11">
        <v>0.25</v>
      </c>
      <c r="D103" s="12" t="s">
        <v>12</v>
      </c>
      <c r="E103" s="13" t="s">
        <v>79</v>
      </c>
      <c r="F103" s="13"/>
      <c r="I103" s="14"/>
    </row>
    <row r="104" spans="1:9" x14ac:dyDescent="0.3">
      <c r="A104" s="6">
        <v>44608</v>
      </c>
      <c r="B104" s="18">
        <f t="shared" ref="B104" si="85">WEEKNUM(A104)</f>
        <v>8</v>
      </c>
      <c r="C104" s="11">
        <v>1</v>
      </c>
      <c r="D104" s="12" t="s">
        <v>12</v>
      </c>
      <c r="E104" s="13" t="s">
        <v>77</v>
      </c>
      <c r="F104" s="13" t="s">
        <v>78</v>
      </c>
      <c r="I104" s="14"/>
    </row>
    <row r="105" spans="1:9" x14ac:dyDescent="0.3">
      <c r="A105" s="6">
        <v>44607</v>
      </c>
      <c r="B105" s="18">
        <f t="shared" ref="B105" si="86">WEEKNUM(A105)</f>
        <v>8</v>
      </c>
      <c r="C105" s="11">
        <v>0.75</v>
      </c>
      <c r="D105" s="12" t="s">
        <v>6</v>
      </c>
      <c r="E105" s="13" t="s">
        <v>75</v>
      </c>
      <c r="F105" s="13" t="s">
        <v>74</v>
      </c>
      <c r="I105" s="14"/>
    </row>
    <row r="106" spans="1:9" x14ac:dyDescent="0.3">
      <c r="A106" s="6">
        <v>44607</v>
      </c>
      <c r="B106" s="18">
        <f t="shared" ref="B106" si="87">WEEKNUM(A106)</f>
        <v>8</v>
      </c>
      <c r="C106" s="11">
        <v>0.66666666666666663</v>
      </c>
      <c r="D106" s="12" t="s">
        <v>12</v>
      </c>
      <c r="E106" s="13" t="s">
        <v>73</v>
      </c>
      <c r="F106" s="13" t="s">
        <v>76</v>
      </c>
      <c r="I106" s="14"/>
    </row>
    <row r="107" spans="1:9" ht="28.8" x14ac:dyDescent="0.3">
      <c r="A107" s="6">
        <v>44607</v>
      </c>
      <c r="B107" s="18">
        <f t="shared" ref="B107" si="88">WEEKNUM(A107)</f>
        <v>8</v>
      </c>
      <c r="C107" s="11">
        <v>0.66666666666666663</v>
      </c>
      <c r="D107" s="12" t="s">
        <v>6</v>
      </c>
      <c r="E107" s="13" t="s">
        <v>71</v>
      </c>
      <c r="F107" s="13" t="s">
        <v>72</v>
      </c>
      <c r="I107" s="14"/>
    </row>
    <row r="108" spans="1:9" x14ac:dyDescent="0.3">
      <c r="A108" s="6">
        <v>44607</v>
      </c>
      <c r="B108" s="18">
        <f t="shared" ref="B108" si="89">WEEKNUM(A108)</f>
        <v>8</v>
      </c>
      <c r="C108" s="11">
        <v>0.5</v>
      </c>
      <c r="D108" s="12" t="s">
        <v>6</v>
      </c>
      <c r="E108" s="13" t="s">
        <v>70</v>
      </c>
      <c r="F108" s="13"/>
      <c r="I108" s="14"/>
    </row>
    <row r="109" spans="1:9" ht="28.8" x14ac:dyDescent="0.3">
      <c r="A109" s="6">
        <v>44607</v>
      </c>
      <c r="B109" s="18">
        <f t="shared" ref="B109" si="90">WEEKNUM(A109)</f>
        <v>8</v>
      </c>
      <c r="C109" s="11">
        <v>0.25</v>
      </c>
      <c r="D109" s="12" t="s">
        <v>6</v>
      </c>
      <c r="E109" s="13" t="s">
        <v>68</v>
      </c>
      <c r="F109" s="13" t="s">
        <v>69</v>
      </c>
      <c r="I109" s="14"/>
    </row>
    <row r="110" spans="1:9" x14ac:dyDescent="0.3">
      <c r="A110" s="6">
        <v>44607</v>
      </c>
      <c r="B110" s="18">
        <f t="shared" ref="B110" si="91">WEEKNUM(A110)</f>
        <v>8</v>
      </c>
      <c r="C110" s="11">
        <v>0.5</v>
      </c>
      <c r="D110" s="12" t="s">
        <v>10</v>
      </c>
      <c r="E110" s="13" t="s">
        <v>67</v>
      </c>
      <c r="F110" s="13"/>
      <c r="I110" s="14"/>
    </row>
    <row r="111" spans="1:9" x14ac:dyDescent="0.3">
      <c r="A111" s="6">
        <v>44607</v>
      </c>
      <c r="B111" s="18">
        <f t="shared" ref="B111" si="92">WEEKNUM(A111)</f>
        <v>8</v>
      </c>
      <c r="C111" s="11">
        <v>0.16666666666666666</v>
      </c>
      <c r="D111" s="12" t="s">
        <v>10</v>
      </c>
      <c r="E111" s="13" t="s">
        <v>65</v>
      </c>
      <c r="F111" s="13" t="s">
        <v>66</v>
      </c>
      <c r="I111" s="14"/>
    </row>
    <row r="112" spans="1:9" x14ac:dyDescent="0.3">
      <c r="A112" s="6">
        <v>44606</v>
      </c>
      <c r="B112" s="18">
        <f t="shared" ref="B112" si="93">WEEKNUM(A112)</f>
        <v>8</v>
      </c>
      <c r="C112" s="11">
        <v>0.25</v>
      </c>
      <c r="D112" s="12" t="s">
        <v>12</v>
      </c>
      <c r="E112" s="13" t="s">
        <v>63</v>
      </c>
      <c r="F112" s="13" t="s">
        <v>64</v>
      </c>
      <c r="I112" s="14"/>
    </row>
    <row r="113" spans="1:9" x14ac:dyDescent="0.3">
      <c r="A113" s="6">
        <v>44606</v>
      </c>
      <c r="B113" s="18">
        <f t="shared" ref="B113" si="94">WEEKNUM(A113)</f>
        <v>8</v>
      </c>
      <c r="C113" s="11">
        <v>0.25</v>
      </c>
      <c r="D113" s="12" t="s">
        <v>12</v>
      </c>
      <c r="E113" s="13" t="s">
        <v>62</v>
      </c>
      <c r="F113" s="13"/>
      <c r="I113" s="14"/>
    </row>
    <row r="114" spans="1:9" x14ac:dyDescent="0.3">
      <c r="A114" s="6">
        <v>44606</v>
      </c>
      <c r="B114" s="18">
        <f t="shared" ref="B114" si="95">WEEKNUM(A114)</f>
        <v>8</v>
      </c>
      <c r="C114" s="11">
        <v>0.75</v>
      </c>
      <c r="D114" s="12" t="s">
        <v>6</v>
      </c>
      <c r="E114" s="13" t="s">
        <v>61</v>
      </c>
      <c r="F114" s="13"/>
      <c r="I114" s="14"/>
    </row>
    <row r="115" spans="1:9" x14ac:dyDescent="0.3">
      <c r="A115" s="6">
        <v>44606</v>
      </c>
      <c r="B115" s="18">
        <f t="shared" ref="B115" si="96">WEEKNUM(A115)</f>
        <v>8</v>
      </c>
      <c r="C115" s="11">
        <v>0.75</v>
      </c>
      <c r="D115" s="12" t="s">
        <v>6</v>
      </c>
      <c r="E115" s="13" t="s">
        <v>60</v>
      </c>
      <c r="F115" s="13"/>
      <c r="I115" s="14"/>
    </row>
    <row r="116" spans="1:9" x14ac:dyDescent="0.3">
      <c r="A116" s="6">
        <v>44606</v>
      </c>
      <c r="B116" s="18">
        <f t="shared" ref="B116" si="97">WEEKNUM(A116)</f>
        <v>8</v>
      </c>
      <c r="C116" s="11">
        <v>0.16666666666666666</v>
      </c>
      <c r="D116" s="12" t="s">
        <v>6</v>
      </c>
      <c r="E116" s="13" t="s">
        <v>57</v>
      </c>
      <c r="F116" s="13" t="s">
        <v>58</v>
      </c>
      <c r="I116" s="14"/>
    </row>
    <row r="117" spans="1:9" x14ac:dyDescent="0.3">
      <c r="A117" s="6">
        <v>44603</v>
      </c>
      <c r="B117" s="18">
        <f t="shared" ref="B117" si="98">WEEKNUM(A117)</f>
        <v>7</v>
      </c>
      <c r="C117" s="11">
        <v>0.25</v>
      </c>
      <c r="D117" s="12" t="s">
        <v>12</v>
      </c>
      <c r="E117" s="13" t="s">
        <v>55</v>
      </c>
      <c r="F117" s="13" t="s">
        <v>56</v>
      </c>
      <c r="I117" s="14"/>
    </row>
    <row r="118" spans="1:9" x14ac:dyDescent="0.3">
      <c r="A118" s="6">
        <v>44603</v>
      </c>
      <c r="B118" s="18">
        <f t="shared" ref="B118" si="99">WEEKNUM(A118)</f>
        <v>7</v>
      </c>
      <c r="C118" s="11">
        <v>1.3</v>
      </c>
      <c r="D118" s="12" t="s">
        <v>6</v>
      </c>
      <c r="E118" s="13" t="s">
        <v>59</v>
      </c>
      <c r="F118" s="13"/>
      <c r="I118" s="14"/>
    </row>
    <row r="119" spans="1:9" x14ac:dyDescent="0.3">
      <c r="A119" s="6">
        <v>44601</v>
      </c>
      <c r="B119" s="18">
        <f t="shared" ref="B119" si="100">WEEKNUM(A119)</f>
        <v>7</v>
      </c>
      <c r="C119" s="11">
        <v>0.27</v>
      </c>
      <c r="D119" s="12" t="s">
        <v>6</v>
      </c>
      <c r="E119" s="13" t="s">
        <v>50</v>
      </c>
      <c r="F119" s="13" t="s">
        <v>53</v>
      </c>
      <c r="I119" s="14"/>
    </row>
    <row r="120" spans="1:9" x14ac:dyDescent="0.3">
      <c r="A120" s="6">
        <v>44601</v>
      </c>
      <c r="B120" s="18">
        <f t="shared" ref="B120" si="101">WEEKNUM(A120)</f>
        <v>7</v>
      </c>
      <c r="C120" s="11">
        <v>0.33333333333333331</v>
      </c>
      <c r="D120" s="12" t="s">
        <v>6</v>
      </c>
      <c r="E120" s="13" t="s">
        <v>52</v>
      </c>
      <c r="F120" s="13" t="s">
        <v>54</v>
      </c>
      <c r="I120" s="14"/>
    </row>
    <row r="121" spans="1:9" x14ac:dyDescent="0.3">
      <c r="A121" s="6">
        <v>44601</v>
      </c>
      <c r="B121" s="18">
        <f t="shared" ref="B121" si="102">WEEKNUM(A121)</f>
        <v>7</v>
      </c>
      <c r="C121" s="11">
        <v>0.41666666666666669</v>
      </c>
      <c r="D121" s="12" t="s">
        <v>6</v>
      </c>
      <c r="E121" s="13" t="s">
        <v>51</v>
      </c>
      <c r="F121" s="13" t="s">
        <v>49</v>
      </c>
      <c r="I121" s="14"/>
    </row>
    <row r="122" spans="1:9" x14ac:dyDescent="0.3">
      <c r="A122" s="6">
        <v>44601</v>
      </c>
      <c r="B122" s="18">
        <f t="shared" ref="B122" si="103">WEEKNUM(A122)</f>
        <v>7</v>
      </c>
      <c r="C122" s="11">
        <v>8.3333333333333329E-2</v>
      </c>
      <c r="D122" s="12" t="s">
        <v>12</v>
      </c>
      <c r="E122" s="13" t="s">
        <v>48</v>
      </c>
      <c r="F122" s="13"/>
      <c r="I122" s="14"/>
    </row>
    <row r="123" spans="1:9" x14ac:dyDescent="0.3">
      <c r="A123" s="6">
        <v>44600</v>
      </c>
      <c r="B123" s="18">
        <f t="shared" ref="B123" si="104">WEEKNUM(A123)</f>
        <v>7</v>
      </c>
      <c r="C123" s="11">
        <v>1</v>
      </c>
      <c r="D123" s="12" t="s">
        <v>6</v>
      </c>
      <c r="E123" s="13" t="s">
        <v>47</v>
      </c>
      <c r="F123" s="13" t="s">
        <v>46</v>
      </c>
      <c r="I123" s="14"/>
    </row>
    <row r="124" spans="1:9" x14ac:dyDescent="0.3">
      <c r="A124" s="6">
        <v>44600</v>
      </c>
      <c r="B124" s="18">
        <f t="shared" ref="B124" si="105">WEEKNUM(A124)</f>
        <v>7</v>
      </c>
      <c r="C124" s="11">
        <v>1.2</v>
      </c>
      <c r="D124" s="12" t="s">
        <v>6</v>
      </c>
      <c r="E124" s="13" t="s">
        <v>43</v>
      </c>
      <c r="F124" s="13" t="s">
        <v>45</v>
      </c>
      <c r="I124" s="14"/>
    </row>
    <row r="125" spans="1:9" ht="28.8" x14ac:dyDescent="0.3">
      <c r="A125" s="6">
        <v>44600</v>
      </c>
      <c r="B125" s="18">
        <f t="shared" ref="B125" si="106">WEEKNUM(A125)</f>
        <v>7</v>
      </c>
      <c r="C125" s="11">
        <v>0.16666666666666666</v>
      </c>
      <c r="D125" s="12" t="s">
        <v>6</v>
      </c>
      <c r="E125" s="13" t="s">
        <v>41</v>
      </c>
      <c r="F125" s="13" t="s">
        <v>42</v>
      </c>
      <c r="I125" s="14"/>
    </row>
    <row r="126" spans="1:9" ht="57.6" x14ac:dyDescent="0.3">
      <c r="A126" s="6">
        <v>44600</v>
      </c>
      <c r="B126" s="18">
        <f t="shared" ref="B126" si="107">WEEKNUM(A126)</f>
        <v>7</v>
      </c>
      <c r="C126" s="11">
        <v>1.5</v>
      </c>
      <c r="D126" s="12" t="s">
        <v>6</v>
      </c>
      <c r="E126" s="13" t="s">
        <v>44</v>
      </c>
      <c r="F126" s="13" t="s">
        <v>136</v>
      </c>
      <c r="I126" s="14"/>
    </row>
    <row r="127" spans="1:9" ht="28.8" x14ac:dyDescent="0.3">
      <c r="A127" s="6">
        <v>44599</v>
      </c>
      <c r="B127" s="18">
        <f t="shared" ref="B127" si="108">WEEKNUM(A127)</f>
        <v>7</v>
      </c>
      <c r="C127" s="11">
        <v>1.25</v>
      </c>
      <c r="D127" s="12" t="s">
        <v>6</v>
      </c>
      <c r="E127" s="13" t="s">
        <v>40</v>
      </c>
      <c r="F127" s="13" t="s">
        <v>135</v>
      </c>
      <c r="I127" s="14"/>
    </row>
    <row r="128" spans="1:9" x14ac:dyDescent="0.3">
      <c r="A128" s="6">
        <v>44599</v>
      </c>
      <c r="B128" s="18">
        <f t="shared" ref="B128" si="109">WEEKNUM(A128)</f>
        <v>7</v>
      </c>
      <c r="C128" s="11">
        <v>0.25</v>
      </c>
      <c r="D128" s="12" t="s">
        <v>12</v>
      </c>
      <c r="E128" s="13" t="s">
        <v>39</v>
      </c>
      <c r="F128" s="13"/>
      <c r="I128" s="14"/>
    </row>
    <row r="129" spans="1:9" x14ac:dyDescent="0.3">
      <c r="A129" s="6">
        <v>44596</v>
      </c>
      <c r="B129" s="18">
        <f t="shared" ref="B129" si="110">WEEKNUM(A129)</f>
        <v>6</v>
      </c>
      <c r="C129" s="11">
        <v>8.3333333333333329E-2</v>
      </c>
      <c r="D129" s="12" t="s">
        <v>6</v>
      </c>
      <c r="E129" s="13" t="s">
        <v>37</v>
      </c>
      <c r="F129" s="13"/>
      <c r="I129" s="14"/>
    </row>
    <row r="130" spans="1:9" ht="28.8" x14ac:dyDescent="0.3">
      <c r="A130" s="6">
        <v>44596</v>
      </c>
      <c r="B130" s="18">
        <f t="shared" ref="B130" si="111">WEEKNUM(A130)</f>
        <v>6</v>
      </c>
      <c r="C130" s="11">
        <v>8.3333333333333329E-2</v>
      </c>
      <c r="D130" s="12" t="s">
        <v>6</v>
      </c>
      <c r="E130" s="13" t="s">
        <v>35</v>
      </c>
      <c r="F130" s="13" t="s">
        <v>36</v>
      </c>
      <c r="I130" s="14"/>
    </row>
    <row r="131" spans="1:9" x14ac:dyDescent="0.3">
      <c r="A131" s="6">
        <v>44596</v>
      </c>
      <c r="B131" s="18">
        <f t="shared" ref="B131" si="112">WEEKNUM(A131)</f>
        <v>6</v>
      </c>
      <c r="C131" s="11">
        <v>0.25</v>
      </c>
      <c r="D131" s="12" t="s">
        <v>12</v>
      </c>
      <c r="E131" s="13" t="s">
        <v>33</v>
      </c>
      <c r="F131" s="13" t="s">
        <v>34</v>
      </c>
    </row>
    <row r="132" spans="1:9" x14ac:dyDescent="0.3">
      <c r="A132" s="6">
        <v>44594</v>
      </c>
      <c r="B132" s="18">
        <f t="shared" ref="B132" si="113">WEEKNUM(A132)</f>
        <v>6</v>
      </c>
      <c r="C132" s="11">
        <v>0.5</v>
      </c>
      <c r="D132" s="12" t="s">
        <v>6</v>
      </c>
      <c r="E132" s="13" t="s">
        <v>32</v>
      </c>
      <c r="F132" s="13"/>
    </row>
    <row r="133" spans="1:9" ht="28.8" x14ac:dyDescent="0.3">
      <c r="A133" s="6">
        <v>44594</v>
      </c>
      <c r="B133" s="18">
        <f t="shared" ref="B133" si="114">WEEKNUM(A133)</f>
        <v>6</v>
      </c>
      <c r="C133" s="11">
        <v>0.25</v>
      </c>
      <c r="D133" s="12" t="s">
        <v>6</v>
      </c>
      <c r="E133" s="13" t="s">
        <v>30</v>
      </c>
      <c r="F133" s="13" t="s">
        <v>31</v>
      </c>
    </row>
    <row r="134" spans="1:9" x14ac:dyDescent="0.3">
      <c r="A134" s="6">
        <v>44594</v>
      </c>
      <c r="B134" s="18">
        <f t="shared" ref="B134" si="115">WEEKNUM(A134)</f>
        <v>6</v>
      </c>
      <c r="C134" s="11">
        <v>0.75</v>
      </c>
      <c r="D134" s="12" t="s">
        <v>12</v>
      </c>
      <c r="E134" s="13" t="s">
        <v>29</v>
      </c>
      <c r="F134" s="13"/>
    </row>
    <row r="135" spans="1:9" x14ac:dyDescent="0.3">
      <c r="A135" s="6">
        <v>44593</v>
      </c>
      <c r="B135" s="18">
        <f t="shared" ref="B135" si="116">WEEKNUM(A135)</f>
        <v>6</v>
      </c>
      <c r="C135" s="11">
        <v>0.75</v>
      </c>
      <c r="D135" s="12" t="s">
        <v>6</v>
      </c>
      <c r="E135" s="13" t="s">
        <v>28</v>
      </c>
      <c r="F135" s="13"/>
    </row>
    <row r="136" spans="1:9" ht="28.8" x14ac:dyDescent="0.3">
      <c r="A136" s="6">
        <v>44593</v>
      </c>
      <c r="B136" s="18">
        <f t="shared" ref="B136" si="117">WEEKNUM(A136)</f>
        <v>6</v>
      </c>
      <c r="C136" s="11">
        <v>0.25</v>
      </c>
      <c r="D136" s="12" t="s">
        <v>6</v>
      </c>
      <c r="E136" s="13" t="s">
        <v>27</v>
      </c>
      <c r="F136" s="13" t="s">
        <v>38</v>
      </c>
    </row>
    <row r="137" spans="1:9" x14ac:dyDescent="0.3">
      <c r="A137" s="6">
        <v>44593</v>
      </c>
      <c r="B137" s="18">
        <f t="shared" ref="B137" si="118">WEEKNUM(A137)</f>
        <v>6</v>
      </c>
      <c r="C137" s="11">
        <v>1</v>
      </c>
      <c r="D137" s="12" t="s">
        <v>6</v>
      </c>
      <c r="E137" s="13" t="s">
        <v>26</v>
      </c>
      <c r="F137" s="13"/>
    </row>
    <row r="138" spans="1:9" x14ac:dyDescent="0.3">
      <c r="A138" s="6">
        <v>44593</v>
      </c>
      <c r="B138" s="18">
        <f t="shared" ref="B138" si="119">WEEKNUM(A138)</f>
        <v>6</v>
      </c>
      <c r="C138" s="11">
        <v>0.25</v>
      </c>
      <c r="D138" s="12" t="s">
        <v>6</v>
      </c>
      <c r="E138" s="13" t="s">
        <v>24</v>
      </c>
      <c r="F138" s="13" t="s">
        <v>25</v>
      </c>
    </row>
    <row r="139" spans="1:9" x14ac:dyDescent="0.3">
      <c r="A139" s="6">
        <v>44593</v>
      </c>
      <c r="B139" s="18">
        <f t="shared" ref="B139" si="120">WEEKNUM(A139)</f>
        <v>6</v>
      </c>
      <c r="C139" s="11">
        <v>0.5</v>
      </c>
      <c r="D139" s="12" t="s">
        <v>6</v>
      </c>
      <c r="E139" s="13" t="s">
        <v>23</v>
      </c>
      <c r="F139" s="13"/>
    </row>
    <row r="140" spans="1:9" ht="28.8" x14ac:dyDescent="0.3">
      <c r="A140" s="6">
        <v>44593</v>
      </c>
      <c r="B140" s="18">
        <f t="shared" ref="B140" si="121">WEEKNUM(A140)</f>
        <v>6</v>
      </c>
      <c r="C140" s="11">
        <v>1</v>
      </c>
      <c r="D140" s="12" t="s">
        <v>6</v>
      </c>
      <c r="E140" s="13" t="s">
        <v>21</v>
      </c>
      <c r="F140" s="13" t="s">
        <v>22</v>
      </c>
    </row>
    <row r="141" spans="1:9" x14ac:dyDescent="0.3">
      <c r="A141" s="6">
        <v>44592</v>
      </c>
      <c r="B141" s="18">
        <f t="shared" ref="B141" si="122">WEEKNUM(A141)</f>
        <v>6</v>
      </c>
      <c r="C141" s="11">
        <v>0.5</v>
      </c>
      <c r="D141" s="12" t="s">
        <v>6</v>
      </c>
      <c r="E141" s="13" t="s">
        <v>21</v>
      </c>
      <c r="F141" s="13" t="s">
        <v>20</v>
      </c>
    </row>
    <row r="142" spans="1:9" x14ac:dyDescent="0.3">
      <c r="A142" s="6">
        <v>44592</v>
      </c>
      <c r="B142" s="18">
        <f t="shared" ref="B142" si="123">WEEKNUM(A142)</f>
        <v>6</v>
      </c>
      <c r="C142" s="11">
        <v>1.5</v>
      </c>
      <c r="D142" s="12" t="s">
        <v>6</v>
      </c>
      <c r="E142" s="13" t="s">
        <v>17</v>
      </c>
      <c r="F142" s="13" t="s">
        <v>19</v>
      </c>
    </row>
    <row r="143" spans="1:9" x14ac:dyDescent="0.3">
      <c r="A143" s="20"/>
    </row>
  </sheetData>
  <sheetProtection selectLockedCells="1"/>
  <mergeCells count="1">
    <mergeCell ref="A1:F2"/>
  </mergeCells>
  <pageMargins left="0.7" right="0.7" top="0.75" bottom="0.75" header="0.3" footer="0.3"/>
  <pageSetup paperSize="152" scale="1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D7:D142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H11"/>
  <sheetViews>
    <sheetView workbookViewId="0">
      <selection activeCell="J4" sqref="J4"/>
    </sheetView>
  </sheetViews>
  <sheetFormatPr baseColWidth="10" defaultColWidth="11.44140625" defaultRowHeight="14.4" x14ac:dyDescent="0.3"/>
  <cols>
    <col min="1" max="1" width="17.109375" customWidth="1"/>
    <col min="2" max="2" width="7" customWidth="1"/>
    <col min="3" max="3" width="11.109375" bestFit="1" customWidth="1"/>
    <col min="4" max="4" width="5" customWidth="1"/>
    <col min="5" max="5" width="11.109375" customWidth="1"/>
    <col min="6" max="6" width="11.109375" bestFit="1" customWidth="1"/>
    <col min="7" max="7" width="11.10937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8" x14ac:dyDescent="0.3">
      <c r="A3" s="3" t="s">
        <v>7</v>
      </c>
    </row>
    <row r="4" spans="1:8" x14ac:dyDescent="0.3">
      <c r="B4" t="s">
        <v>6</v>
      </c>
      <c r="C4" t="s">
        <v>8</v>
      </c>
    </row>
    <row r="5" spans="1:8" x14ac:dyDescent="0.3">
      <c r="A5" s="4" t="s">
        <v>18</v>
      </c>
      <c r="B5">
        <v>1</v>
      </c>
      <c r="C5">
        <v>1</v>
      </c>
      <c r="F5" t="s">
        <v>206</v>
      </c>
      <c r="G5" t="s">
        <v>207</v>
      </c>
    </row>
    <row r="6" spans="1:8" x14ac:dyDescent="0.3">
      <c r="A6" s="4" t="s">
        <v>8</v>
      </c>
      <c r="B6">
        <v>1</v>
      </c>
      <c r="C6">
        <v>1</v>
      </c>
      <c r="F6" s="1" t="s">
        <v>6</v>
      </c>
      <c r="G6">
        <f>COUNTIF(Journal!$D$7:$D$162,$F6)</f>
        <v>42</v>
      </c>
    </row>
    <row r="7" spans="1:8" x14ac:dyDescent="0.3">
      <c r="F7" s="1" t="s">
        <v>10</v>
      </c>
      <c r="G7">
        <f>COUNTIF(Journal!$D$7:$D$162,$F7)</f>
        <v>45</v>
      </c>
    </row>
    <row r="8" spans="1:8" x14ac:dyDescent="0.3">
      <c r="F8" s="1" t="s">
        <v>11</v>
      </c>
      <c r="G8">
        <f>COUNTIF(Journal!$D$7:$D$162,$F8)</f>
        <v>14</v>
      </c>
    </row>
    <row r="9" spans="1:8" x14ac:dyDescent="0.3">
      <c r="F9" s="1" t="s">
        <v>12</v>
      </c>
      <c r="G9">
        <f>COUNTIF(Journal!$D$7:$D$162,$F9)</f>
        <v>33</v>
      </c>
    </row>
    <row r="10" spans="1:8" x14ac:dyDescent="0.3">
      <c r="F10" s="1" t="s">
        <v>13</v>
      </c>
      <c r="G10">
        <f>COUNTIF(Journal!$D$7:$D$162,$F10)</f>
        <v>2</v>
      </c>
    </row>
    <row r="11" spans="1:8" x14ac:dyDescent="0.3">
      <c r="H11" s="24">
        <f>SUM(Journal!C7:C142)</f>
        <v>121.93666666666668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E70"/>
  <sheetViews>
    <sheetView tabSelected="1" workbookViewId="0">
      <selection activeCell="F42" sqref="F42"/>
    </sheetView>
  </sheetViews>
  <sheetFormatPr baseColWidth="10" defaultColWidth="11.44140625" defaultRowHeight="14.4" x14ac:dyDescent="0.3"/>
  <cols>
    <col min="1" max="1" width="13.109375" bestFit="1" customWidth="1"/>
  </cols>
  <sheetData>
    <row r="1" spans="1:1" x14ac:dyDescent="0.3">
      <c r="A1" s="2" t="s">
        <v>9</v>
      </c>
    </row>
    <row r="2" spans="1:1" x14ac:dyDescent="0.3">
      <c r="A2" s="1" t="s">
        <v>6</v>
      </c>
    </row>
    <row r="3" spans="1:1" x14ac:dyDescent="0.3">
      <c r="A3" s="1" t="s">
        <v>10</v>
      </c>
    </row>
    <row r="4" spans="1:1" x14ac:dyDescent="0.3">
      <c r="A4" s="1" t="s">
        <v>11</v>
      </c>
    </row>
    <row r="5" spans="1:1" x14ac:dyDescent="0.3">
      <c r="A5" s="1" t="s">
        <v>12</v>
      </c>
    </row>
    <row r="6" spans="1:1" x14ac:dyDescent="0.3">
      <c r="A6" s="1" t="s">
        <v>13</v>
      </c>
    </row>
    <row r="23" spans="3:5" x14ac:dyDescent="0.3">
      <c r="C23">
        <v>0.5</v>
      </c>
      <c r="E23" t="s">
        <v>219</v>
      </c>
    </row>
    <row r="24" spans="3:5" x14ac:dyDescent="0.3">
      <c r="C24">
        <v>2.5</v>
      </c>
    </row>
    <row r="27" spans="3:5" x14ac:dyDescent="0.3">
      <c r="E27" t="s">
        <v>218</v>
      </c>
    </row>
    <row r="29" spans="3:5" x14ac:dyDescent="0.3">
      <c r="C29">
        <v>1.5</v>
      </c>
      <c r="E29" t="s">
        <v>217</v>
      </c>
    </row>
    <row r="30" spans="3:5" x14ac:dyDescent="0.3">
      <c r="C30">
        <v>2.5</v>
      </c>
    </row>
    <row r="36" spans="3:5" x14ac:dyDescent="0.3">
      <c r="C36">
        <v>0.2</v>
      </c>
    </row>
    <row r="37" spans="3:5" x14ac:dyDescent="0.3">
      <c r="C37">
        <v>1</v>
      </c>
    </row>
    <row r="39" spans="3:5" x14ac:dyDescent="0.3">
      <c r="C39">
        <v>0.25</v>
      </c>
      <c r="E39" t="s">
        <v>216</v>
      </c>
    </row>
    <row r="40" spans="3:5" x14ac:dyDescent="0.3">
      <c r="C40">
        <v>0.75</v>
      </c>
    </row>
    <row r="41" spans="3:5" x14ac:dyDescent="0.3">
      <c r="C41">
        <v>0.16666666666666699</v>
      </c>
      <c r="E41" t="s">
        <v>215</v>
      </c>
    </row>
    <row r="42" spans="3:5" x14ac:dyDescent="0.3">
      <c r="C42">
        <v>0.33333333333333298</v>
      </c>
    </row>
    <row r="43" spans="3:5" x14ac:dyDescent="0.3">
      <c r="C43">
        <v>0.25</v>
      </c>
      <c r="E43" t="s">
        <v>214</v>
      </c>
    </row>
    <row r="44" spans="3:5" x14ac:dyDescent="0.3">
      <c r="C44">
        <v>1.25</v>
      </c>
    </row>
    <row r="50" spans="3:5" x14ac:dyDescent="0.3">
      <c r="C50">
        <v>0.5</v>
      </c>
      <c r="E50" t="s">
        <v>213</v>
      </c>
    </row>
    <row r="51" spans="3:5" x14ac:dyDescent="0.3">
      <c r="C51">
        <v>1</v>
      </c>
    </row>
    <row r="52" spans="3:5" x14ac:dyDescent="0.3">
      <c r="C52">
        <v>0.5</v>
      </c>
      <c r="E52" t="s">
        <v>212</v>
      </c>
    </row>
    <row r="53" spans="3:5" x14ac:dyDescent="0.3">
      <c r="C53">
        <v>2.5</v>
      </c>
    </row>
    <row r="56" spans="3:5" x14ac:dyDescent="0.3">
      <c r="C56">
        <v>0.5</v>
      </c>
      <c r="E56" t="s">
        <v>211</v>
      </c>
    </row>
    <row r="57" spans="3:5" x14ac:dyDescent="0.3">
      <c r="C57">
        <v>2.5</v>
      </c>
    </row>
    <row r="58" spans="3:5" x14ac:dyDescent="0.3">
      <c r="C58">
        <v>0.75</v>
      </c>
    </row>
    <row r="63" spans="3:5" x14ac:dyDescent="0.3">
      <c r="C63">
        <v>0.5</v>
      </c>
      <c r="E63" t="s">
        <v>210</v>
      </c>
    </row>
    <row r="64" spans="3:5" x14ac:dyDescent="0.3">
      <c r="C64">
        <v>1.5</v>
      </c>
    </row>
    <row r="65" spans="3:5" x14ac:dyDescent="0.3">
      <c r="C65">
        <v>1</v>
      </c>
      <c r="E65" t="s">
        <v>209</v>
      </c>
    </row>
    <row r="66" spans="3:5" x14ac:dyDescent="0.3">
      <c r="C66">
        <v>1</v>
      </c>
    </row>
    <row r="69" spans="3:5" x14ac:dyDescent="0.3">
      <c r="C69">
        <v>0.5</v>
      </c>
      <c r="E69" t="s">
        <v>208</v>
      </c>
    </row>
    <row r="70" spans="3:5" x14ac:dyDescent="0.3">
      <c r="C70">
        <v>1</v>
      </c>
      <c r="E70" t="s">
        <v>208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NewTaskType">
                <anchor moveWithCells="1" sizeWithCells="1">
                  <from>
                    <xdr:col>0</xdr:col>
                    <xdr:colOff>7620</xdr:colOff>
                    <xdr:row>6</xdr:row>
                    <xdr:rowOff>30480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2022-04-02T12:44:54Z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